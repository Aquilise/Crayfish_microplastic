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Das et al., Crayfish_MP\Environmental Pollution_Submission\"/>
    </mc:Choice>
  </mc:AlternateContent>
  <xr:revisionPtr revIDLastSave="0" documentId="13_ncr:1_{2F5D8836-2BA7-4E63-8B4B-C77F5684635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1_Biometry (mean SD)" sheetId="1" r:id="rId1"/>
    <sheet name="S3_MPs Morphotype" sheetId="2" r:id="rId2"/>
    <sheet name="S4_Abundance" sheetId="3" r:id="rId3"/>
    <sheet name="S5_Morphotype_plots" sheetId="4" r:id="rId4"/>
    <sheet name="S6_Occurrence" sheetId="5" r:id="rId5"/>
    <sheet name="Risk assessment" sheetId="6" r:id="rId6"/>
    <sheet name="S7_PHI" sheetId="7" r:id="rId7"/>
    <sheet name="Station wise PHI" sheetId="8" r:id="rId8"/>
    <sheet name="Polymers_stations" sheetId="10" r:id="rId9"/>
    <sheet name="S8_GPS coordinates" sheetId="11" r:id="rId10"/>
    <sheet name="GLM_dataset" sheetId="12" r:id="rId11"/>
  </sheets>
  <externalReferences>
    <externalReference r:id="rId12"/>
  </externalReferences>
  <definedNames>
    <definedName name="_xlnm._FilterDatabase" localSheetId="8" hidden="1">Polymers_stations!$B$2:$V$37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6" i="6" l="1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P121" i="2" l="1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P120" i="2"/>
  <c r="M105" i="2" l="1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6" i="2"/>
  <c r="M107" i="2"/>
  <c r="M68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30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6" i="2"/>
  <c r="G16" i="3"/>
  <c r="I15" i="4"/>
  <c r="J15" i="4"/>
  <c r="K15" i="4"/>
  <c r="L15" i="4"/>
  <c r="M15" i="4"/>
  <c r="N15" i="4"/>
  <c r="H15" i="4"/>
  <c r="D15" i="4"/>
  <c r="E15" i="4"/>
  <c r="F15" i="4"/>
  <c r="Q15" i="4"/>
  <c r="R15" i="4"/>
  <c r="P15" i="4"/>
  <c r="P13" i="4"/>
  <c r="I14" i="4"/>
  <c r="J14" i="4"/>
  <c r="K14" i="4"/>
  <c r="L14" i="4"/>
  <c r="M14" i="4"/>
  <c r="N14" i="4"/>
  <c r="H14" i="4"/>
  <c r="I13" i="4"/>
  <c r="J13" i="4"/>
  <c r="K13" i="4"/>
  <c r="L13" i="4"/>
  <c r="M13" i="4"/>
  <c r="N13" i="4"/>
  <c r="H13" i="4"/>
  <c r="C15" i="4"/>
  <c r="D14" i="4"/>
  <c r="E14" i="4"/>
  <c r="F14" i="4"/>
  <c r="C14" i="4"/>
  <c r="D13" i="4"/>
  <c r="E13" i="4"/>
  <c r="F13" i="4"/>
  <c r="C13" i="4"/>
  <c r="AH83" i="2" l="1"/>
  <c r="W26" i="3" l="1"/>
</calcChain>
</file>

<file path=xl/sharedStrings.xml><?xml version="1.0" encoding="utf-8"?>
<sst xmlns="http://schemas.openxmlformats.org/spreadsheetml/2006/main" count="1562" uniqueCount="379">
  <si>
    <t>Sl. No</t>
  </si>
  <si>
    <t>Location</t>
  </si>
  <si>
    <t>cl_(mm)</t>
  </si>
  <si>
    <t>tl_(mm)</t>
  </si>
  <si>
    <t>w_(g)</t>
  </si>
  <si>
    <t>Černá v Pošumaví</t>
  </si>
  <si>
    <t>Kořensko</t>
  </si>
  <si>
    <t>Hněvkovice</t>
  </si>
  <si>
    <t>S1</t>
  </si>
  <si>
    <t>S2</t>
  </si>
  <si>
    <t>S3</t>
  </si>
  <si>
    <t xml:space="preserve">Location </t>
  </si>
  <si>
    <t>Individuals</t>
  </si>
  <si>
    <t>CL (mm)</t>
  </si>
  <si>
    <t>TL (mm)</t>
  </si>
  <si>
    <t>BW (g)</t>
  </si>
  <si>
    <t>n=10</t>
  </si>
  <si>
    <t>31.61 ± 2.76</t>
  </si>
  <si>
    <t>64.44 ± 5.06</t>
  </si>
  <si>
    <t>6.19 ± 1.88</t>
  </si>
  <si>
    <t>n=17</t>
  </si>
  <si>
    <t>28.43 ± 3.17</t>
  </si>
  <si>
    <t>60.29 ± 6.37</t>
  </si>
  <si>
    <t>6.26 ± 2.15</t>
  </si>
  <si>
    <t>n=20</t>
  </si>
  <si>
    <t>31.81 ± 2.53</t>
  </si>
  <si>
    <t>66.96 ± 5.82</t>
  </si>
  <si>
    <t>7.67 ± 2.06</t>
  </si>
  <si>
    <t>Size (µm)</t>
  </si>
  <si>
    <t>Shape</t>
  </si>
  <si>
    <t>Colour</t>
  </si>
  <si>
    <t>Small</t>
  </si>
  <si>
    <t>Medium</t>
  </si>
  <si>
    <t>Large</t>
  </si>
  <si>
    <t>Organs</t>
  </si>
  <si>
    <t>Sample code</t>
  </si>
  <si>
    <t>Fragment</t>
  </si>
  <si>
    <t>Foam</t>
  </si>
  <si>
    <t>Fiber</t>
  </si>
  <si>
    <t>Film</t>
  </si>
  <si>
    <t>Total</t>
  </si>
  <si>
    <t>Abundance (MPs/g)</t>
  </si>
  <si>
    <t xml:space="preserve"> Red</t>
  </si>
  <si>
    <t xml:space="preserve">Green </t>
  </si>
  <si>
    <t>Black</t>
  </si>
  <si>
    <t>Blue</t>
  </si>
  <si>
    <t>Yellow</t>
  </si>
  <si>
    <t>White</t>
  </si>
  <si>
    <t>Grey</t>
  </si>
  <si>
    <t>50-1500</t>
  </si>
  <si>
    <t>1500-3000</t>
  </si>
  <si>
    <t>3000-5000</t>
  </si>
  <si>
    <t>Lipno</t>
  </si>
  <si>
    <t>Gills</t>
  </si>
  <si>
    <t>LG1</t>
  </si>
  <si>
    <t>LG2</t>
  </si>
  <si>
    <t>LG3</t>
  </si>
  <si>
    <t>LG4</t>
  </si>
  <si>
    <t>LG5</t>
  </si>
  <si>
    <t>LG6</t>
  </si>
  <si>
    <t>LG7</t>
  </si>
  <si>
    <t>LG8</t>
  </si>
  <si>
    <t>LG9</t>
  </si>
  <si>
    <t>LG10</t>
  </si>
  <si>
    <t>GIT</t>
  </si>
  <si>
    <t>LDT1</t>
  </si>
  <si>
    <t>LDT2</t>
  </si>
  <si>
    <t>LDT3</t>
  </si>
  <si>
    <t>LDT4</t>
  </si>
  <si>
    <t>LDT5</t>
  </si>
  <si>
    <t>LDT6</t>
  </si>
  <si>
    <t>LDT7</t>
  </si>
  <si>
    <t>LDT8</t>
  </si>
  <si>
    <t>LDT9</t>
  </si>
  <si>
    <t>LDT10</t>
  </si>
  <si>
    <t>KG1</t>
  </si>
  <si>
    <t>KG2</t>
  </si>
  <si>
    <t>KG3</t>
  </si>
  <si>
    <t>KG4</t>
  </si>
  <si>
    <t>KG5</t>
  </si>
  <si>
    <t>KG6</t>
  </si>
  <si>
    <t>KG7</t>
  </si>
  <si>
    <t>KG8</t>
  </si>
  <si>
    <t>KG9</t>
  </si>
  <si>
    <t>KG10</t>
  </si>
  <si>
    <t>KG11</t>
  </si>
  <si>
    <t>KG12</t>
  </si>
  <si>
    <t>KG13</t>
  </si>
  <si>
    <t>KG14</t>
  </si>
  <si>
    <t>KG15</t>
  </si>
  <si>
    <t>KG16</t>
  </si>
  <si>
    <t>KG17</t>
  </si>
  <si>
    <t>KDT1</t>
  </si>
  <si>
    <t>KDT2</t>
  </si>
  <si>
    <t>KDT3</t>
  </si>
  <si>
    <t>KDT4</t>
  </si>
  <si>
    <t>KDT5</t>
  </si>
  <si>
    <t>KDT6</t>
  </si>
  <si>
    <t>KDT7</t>
  </si>
  <si>
    <t>KDT8</t>
  </si>
  <si>
    <t>KDT9</t>
  </si>
  <si>
    <t>KDT10</t>
  </si>
  <si>
    <t>KDT11</t>
  </si>
  <si>
    <t>KDT12</t>
  </si>
  <si>
    <t>KDT13</t>
  </si>
  <si>
    <t>KDT14</t>
  </si>
  <si>
    <t>KDT15</t>
  </si>
  <si>
    <t>KDT16</t>
  </si>
  <si>
    <t>KDT17</t>
  </si>
  <si>
    <t>HG1</t>
  </si>
  <si>
    <t>HG2</t>
  </si>
  <si>
    <t>HG3</t>
  </si>
  <si>
    <t>HG4</t>
  </si>
  <si>
    <t>HG5</t>
  </si>
  <si>
    <t>HG6</t>
  </si>
  <si>
    <t>HG7</t>
  </si>
  <si>
    <t>HG8</t>
  </si>
  <si>
    <t>HG9</t>
  </si>
  <si>
    <t>HG10</t>
  </si>
  <si>
    <t>HG11</t>
  </si>
  <si>
    <t>HG12</t>
  </si>
  <si>
    <t>HG13</t>
  </si>
  <si>
    <t>HG14</t>
  </si>
  <si>
    <t>HG15</t>
  </si>
  <si>
    <t>HG16</t>
  </si>
  <si>
    <t>HG17</t>
  </si>
  <si>
    <t>HG18</t>
  </si>
  <si>
    <t>HG19</t>
  </si>
  <si>
    <t>HG20</t>
  </si>
  <si>
    <t>HDT1</t>
  </si>
  <si>
    <t>HDT2</t>
  </si>
  <si>
    <t>HDT3</t>
  </si>
  <si>
    <t>HDT4</t>
  </si>
  <si>
    <t>HDT5</t>
  </si>
  <si>
    <t>HDT6</t>
  </si>
  <si>
    <t>HDT7</t>
  </si>
  <si>
    <t>HDT8</t>
  </si>
  <si>
    <t>HDT9</t>
  </si>
  <si>
    <t>HDT10</t>
  </si>
  <si>
    <t>HDT11</t>
  </si>
  <si>
    <t>HDT12</t>
  </si>
  <si>
    <t>HDT13</t>
  </si>
  <si>
    <t>HDT14</t>
  </si>
  <si>
    <t>HDT15</t>
  </si>
  <si>
    <t>HDT16</t>
  </si>
  <si>
    <t>HDT17</t>
  </si>
  <si>
    <t>HDT18</t>
  </si>
  <si>
    <t>HDT19</t>
  </si>
  <si>
    <t>HDT20</t>
  </si>
  <si>
    <t>Station 1</t>
  </si>
  <si>
    <t>Station 2</t>
  </si>
  <si>
    <t>Station 3</t>
  </si>
  <si>
    <t>Total MPs</t>
  </si>
  <si>
    <t>SN</t>
  </si>
  <si>
    <t>Number of MPS</t>
  </si>
  <si>
    <t>weight of organs (g)</t>
  </si>
  <si>
    <t>Abundance (particles/g)</t>
  </si>
  <si>
    <t>GILLS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</si>
  <si>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</si>
  <si>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</si>
  <si>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</si>
  <si>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</si>
  <si>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</si>
  <si>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</si>
  <si>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</si>
  <si>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</si>
  <si>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</si>
  <si>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</si>
  <si>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</si>
  <si>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Mean</t>
  </si>
  <si>
    <t>Sample 12</t>
  </si>
  <si>
    <t>Std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</si>
  <si>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</si>
  <si>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</si>
  <si>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</si>
  <si>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</si>
  <si>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</si>
  <si>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</si>
  <si>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</si>
  <si>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</si>
  <si>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Name</t>
  </si>
  <si>
    <t xml:space="preserve">Large </t>
  </si>
  <si>
    <t>%</t>
  </si>
  <si>
    <t>Station  1</t>
  </si>
  <si>
    <t>Sl.no</t>
  </si>
  <si>
    <t>Locations</t>
  </si>
  <si>
    <t>Occurrence (%)</t>
  </si>
  <si>
    <t>Total occurrence (%)</t>
  </si>
  <si>
    <t>Risk Assessment</t>
  </si>
  <si>
    <t>Abundance (Ci)</t>
  </si>
  <si>
    <t>C0</t>
  </si>
  <si>
    <t>CF</t>
  </si>
  <si>
    <t>MPLI</t>
  </si>
  <si>
    <t>Composition of the items</t>
  </si>
  <si>
    <t>Percentage (%)</t>
  </si>
  <si>
    <t>Polymers</t>
  </si>
  <si>
    <t>Hazard score</t>
  </si>
  <si>
    <t>PHI</t>
  </si>
  <si>
    <t>Pn</t>
  </si>
  <si>
    <t>Sn (hazard score)</t>
  </si>
  <si>
    <t>Pn *Sn</t>
  </si>
  <si>
    <t>Total PHI</t>
  </si>
  <si>
    <t>Low-density polyethylene (LDPE)</t>
  </si>
  <si>
    <t>Polycarbonate (PC)</t>
  </si>
  <si>
    <t>Polyethylene (PE)</t>
  </si>
  <si>
    <t>Polyethylene terephthalate (PET)</t>
  </si>
  <si>
    <t>Polypropylene (PP)</t>
  </si>
  <si>
    <t xml:space="preserve">Polystyrene (PS) </t>
  </si>
  <si>
    <t>Sl.No</t>
  </si>
  <si>
    <t>Polymer type</t>
  </si>
  <si>
    <t>Monomer</t>
  </si>
  <si>
    <t>Hazard</t>
  </si>
  <si>
    <t>Hazard level</t>
  </si>
  <si>
    <t>Risk Category</t>
  </si>
  <si>
    <t>Ethylene</t>
  </si>
  <si>
    <t>Extremely flammable gas, may cause drowsiness/dizziness; respiratory irritation</t>
  </si>
  <si>
    <t>High hazard</t>
  </si>
  <si>
    <t>IV</t>
  </si>
  <si>
    <t>Bisphenol A</t>
  </si>
  <si>
    <t>Medium hazard</t>
  </si>
  <si>
    <t>III</t>
  </si>
  <si>
    <t>Ethylene terephthalate</t>
  </si>
  <si>
    <t>Harmful if swallowed</t>
  </si>
  <si>
    <t>Propylene</t>
  </si>
  <si>
    <t>Extremely flammable gas, harmful when inhaled</t>
  </si>
  <si>
    <t>Low hazard</t>
  </si>
  <si>
    <t>II</t>
  </si>
  <si>
    <t>Styrene</t>
  </si>
  <si>
    <t>Flammable liquid and vapour, harmful if inhaled</t>
  </si>
  <si>
    <t>Polymer risk indexa</t>
  </si>
  <si>
    <t>Hazard levela</t>
  </si>
  <si>
    <t>Pollution load indexb</t>
  </si>
  <si>
    <t>Risk categoryb</t>
  </si>
  <si>
    <t>Close to 1</t>
  </si>
  <si>
    <t>Very low hazard</t>
  </si>
  <si>
    <t>＜10</t>
  </si>
  <si>
    <t>Ⅰ</t>
  </si>
  <si>
    <t>Close to10</t>
  </si>
  <si>
    <t>10–20</t>
  </si>
  <si>
    <t>Ⅱ</t>
  </si>
  <si>
    <t>Close to 100</t>
  </si>
  <si>
    <t>20–30</t>
  </si>
  <si>
    <t>Ⅲ</t>
  </si>
  <si>
    <t>Close to 1000</t>
  </si>
  <si>
    <t>＞30</t>
  </si>
  <si>
    <t>Ⅳ</t>
  </si>
  <si>
    <t>Close to 10000</t>
  </si>
  <si>
    <t>Very high hazard</t>
  </si>
  <si>
    <t>-</t>
  </si>
  <si>
    <t>V</t>
  </si>
  <si>
    <t>count (ni)</t>
  </si>
  <si>
    <t>Scores (si)</t>
  </si>
  <si>
    <t>ni*si</t>
  </si>
  <si>
    <t>PE</t>
  </si>
  <si>
    <t>LDPE</t>
  </si>
  <si>
    <t>PS</t>
  </si>
  <si>
    <t>PC</t>
  </si>
  <si>
    <t>PET</t>
  </si>
  <si>
    <t>PP</t>
  </si>
  <si>
    <t>Sample</t>
  </si>
  <si>
    <t>organs</t>
  </si>
  <si>
    <t>Polymer</t>
  </si>
  <si>
    <t>Morphotype</t>
  </si>
  <si>
    <t>Low-density polyethylene</t>
  </si>
  <si>
    <t>HDT19_1</t>
  </si>
  <si>
    <t>Polycarbonate</t>
  </si>
  <si>
    <t>HDT2_1</t>
  </si>
  <si>
    <t>Polypropylene</t>
  </si>
  <si>
    <t>Polyethylene</t>
  </si>
  <si>
    <t>HDT9_3</t>
  </si>
  <si>
    <t>Polyethylene terephthalate</t>
  </si>
  <si>
    <t>HG5_1</t>
  </si>
  <si>
    <t>HG5_2</t>
  </si>
  <si>
    <t>Polystyrene</t>
  </si>
  <si>
    <t>KDT1_3</t>
  </si>
  <si>
    <t>KDT12_1</t>
  </si>
  <si>
    <t>KDT14_5</t>
  </si>
  <si>
    <t>Green</t>
  </si>
  <si>
    <t>KDT2_1</t>
  </si>
  <si>
    <t>Offwhite</t>
  </si>
  <si>
    <t>KDT2_3</t>
  </si>
  <si>
    <t>KDT2_4</t>
  </si>
  <si>
    <t>KDT2_5</t>
  </si>
  <si>
    <t>KDT2_8</t>
  </si>
  <si>
    <t>KDT2_9</t>
  </si>
  <si>
    <t>KDT3_1</t>
  </si>
  <si>
    <t>KDT3_4</t>
  </si>
  <si>
    <t>KDT3_5</t>
  </si>
  <si>
    <t>KDT3_6</t>
  </si>
  <si>
    <t>KDT5_1</t>
  </si>
  <si>
    <t>KDT6_1</t>
  </si>
  <si>
    <t>KDT6_3</t>
  </si>
  <si>
    <t>KDT9_2</t>
  </si>
  <si>
    <t>KG10_1</t>
  </si>
  <si>
    <t>KG10_6</t>
  </si>
  <si>
    <t>KG2_1</t>
  </si>
  <si>
    <t>KG3_1</t>
  </si>
  <si>
    <t>KG3_2</t>
  </si>
  <si>
    <t>KG3_3</t>
  </si>
  <si>
    <t>KG5_1</t>
  </si>
  <si>
    <t>LDT6a_1</t>
  </si>
  <si>
    <t>LDT6b_2</t>
  </si>
  <si>
    <t>Brown</t>
  </si>
  <si>
    <t>LG3_1</t>
  </si>
  <si>
    <t>LG3_2</t>
  </si>
  <si>
    <t>Lat/long</t>
  </si>
  <si>
    <t>Lipno reservoir</t>
  </si>
  <si>
    <t>48.743045 N, 14.102170E</t>
  </si>
  <si>
    <t>Vltava River</t>
  </si>
  <si>
    <t>49.2408161N, 14.3818539E</t>
  </si>
  <si>
    <t>49.1940869N, 14.4445103E</t>
  </si>
  <si>
    <t>ID</t>
  </si>
  <si>
    <t>Site</t>
  </si>
  <si>
    <t>Individual</t>
  </si>
  <si>
    <t>Organ</t>
  </si>
  <si>
    <t>Tissue_g</t>
  </si>
  <si>
    <t>MP_count</t>
  </si>
  <si>
    <t>MP_g</t>
  </si>
  <si>
    <t>Presence</t>
  </si>
  <si>
    <t>Fibers</t>
  </si>
  <si>
    <t>Fragments</t>
  </si>
  <si>
    <t>Films</t>
  </si>
  <si>
    <t>L1</t>
  </si>
  <si>
    <t>Gill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</si>
  <si>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</si>
  <si>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</si>
  <si>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</si>
  <si>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</si>
  <si>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</si>
  <si>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</si>
  <si>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</si>
  <si>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</si>
  <si>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</si>
  <si>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</si>
  <si>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</si>
  <si>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</si>
  <si>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</si>
  <si>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</si>
  <si>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</si>
  <si>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</si>
  <si>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</si>
  <si>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</si>
  <si>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</si>
  <si>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</si>
  <si>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</si>
  <si>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</si>
  <si>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</si>
  <si>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</si>
  <si>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</si>
  <si>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</si>
  <si>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</si>
  <si>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</si>
  <si>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</si>
  <si>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</si>
  <si>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</si>
  <si>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</si>
  <si>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</si>
  <si>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</si>
  <si>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</si>
  <si>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</si>
  <si>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</si>
  <si>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</si>
  <si>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</si>
  <si>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</si>
  <si>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</si>
  <si>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</si>
  <si>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</si>
  <si>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</si>
  <si>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</si>
  <si>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</si>
  <si>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 xml:space="preserve"> Body Weight (g)</t>
  </si>
  <si>
    <t>Abundance (MPs/g)_whole_body mass</t>
  </si>
  <si>
    <t>Organ_wet(g)</t>
  </si>
  <si>
    <t>Suspected particles/g wet organ mass.</t>
  </si>
  <si>
    <t>Organ/Sample type</t>
  </si>
  <si>
    <t>Hanko_S3</t>
  </si>
  <si>
    <t xml:space="preserve">Gills </t>
  </si>
  <si>
    <t>gills (g</t>
  </si>
  <si>
    <t>GIT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</si>
</sst>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C00000"/>
      <name val="Times New Roman"/>
      <family val="1"/>
      <charset val="238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2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1" fillId="0" borderId="5" xfId="0" applyFont="1" applyBorder="1"/>
    <xf numFmtId="0" fontId="3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0" borderId="0" xfId="0" applyFont="1"/>
    <xf numFmtId="0" fontId="6" fillId="0" borderId="4" xfId="0" applyFont="1" applyBorder="1"/>
    <xf numFmtId="2" fontId="6" fillId="0" borderId="0" xfId="0" applyNumberFormat="1" applyFont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7" fillId="0" borderId="4" xfId="0" applyFont="1" applyBorder="1"/>
    <xf numFmtId="2" fontId="8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/>
    <xf numFmtId="2" fontId="8" fillId="0" borderId="0" xfId="0" applyNumberFormat="1" applyFont="1" applyAlignment="1">
      <alignment horizontal="center" vertical="center"/>
    </xf>
    <xf numFmtId="0" fontId="8" fillId="2" borderId="0" xfId="0" applyFont="1" applyFill="1"/>
    <xf numFmtId="0" fontId="7" fillId="2" borderId="0" xfId="0" applyFont="1" applyFill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/>
    <xf numFmtId="0" fontId="6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10" fillId="0" borderId="1" xfId="0" applyFont="1" applyBorder="1"/>
    <xf numFmtId="0" fontId="11" fillId="0" borderId="1" xfId="0" applyFont="1" applyBorder="1"/>
    <xf numFmtId="0" fontId="3" fillId="0" borderId="1" xfId="0" applyFont="1" applyBorder="1"/>
    <xf numFmtId="0" fontId="12" fillId="0" borderId="0" xfId="0" applyFont="1"/>
    <xf numFmtId="0" fontId="8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2" fontId="6" fillId="0" borderId="0" xfId="0" applyNumberFormat="1" applyFont="1"/>
    <xf numFmtId="2" fontId="14" fillId="0" borderId="1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4" xfId="0" applyBorder="1"/>
    <xf numFmtId="0" fontId="7" fillId="4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[1]S5_Morphotype_plots!$C$17</c:f>
              <c:strCache>
                <c:ptCount val="1"/>
                <c:pt idx="0">
                  <c:v>Fragment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[1]S5_Morphotype_plots!$B$18:$B$20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[1]S5_Morphotype_plots!$C$18:$C$20</c:f>
              <c:numCache>
                <c:formatCode>General</c:formatCode>
                <c:ptCount val="3"/>
                <c:pt idx="0">
                  <c:v>33.333333333333329</c:v>
                </c:pt>
                <c:pt idx="1">
                  <c:v>35.714285714285715</c:v>
                </c:pt>
                <c:pt idx="2">
                  <c:v>42.372881355932201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0-484A-BC50-957967535A57}"/>
            </c:ext>
          </c:extLst>
        </c:ser>
        <c:ser>
          <c:idx val="1"/>
          <c:order val="1"/>
          <c:tx>
            <c:strRef>
              <c:f>[1]S5_Morphotype_plots!$D$17</c:f>
              <c:strCache>
                <c:ptCount val="1"/>
                <c:pt idx="0">
                  <c:v>Foam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[1]S5_Morphotype_plots!$B$18:$B$20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[1]S5_Morphotype_plots!$D$18:$D$20</c:f>
              <c:numCache>
                <c:formatCode>General</c:formatCode>
                <c:ptCount val="3"/>
                <c:pt idx="0">
                  <c:v>6.0606060606060606</c:v>
                </c:pt>
                <c:pt idx="1">
                  <c:v>18.571428571428573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0-484A-BC50-957967535A57}"/>
            </c:ext>
          </c:extLst>
        </c:ser>
        <c:ser>
          <c:idx val="2"/>
          <c:order val="2"/>
          <c:tx>
            <c:strRef>
              <c:f>[1]S5_Morphotype_plots!$E$17</c:f>
              <c:strCache>
                <c:ptCount val="1"/>
                <c:pt idx="0">
                  <c:v>Fiber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cat>
            <c:strRef>
              <c:f>[1]S5_Morphotype_plots!$B$18:$B$20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[1]S5_Morphotype_plots!$E$18:$E$20</c:f>
              <c:numCache>
                <c:formatCode>General</c:formatCode>
                <c:ptCount val="3"/>
                <c:pt idx="0">
                  <c:v>45.454545454545453</c:v>
                </c:pt>
                <c:pt idx="1">
                  <c:v>28.571428571428569</c:v>
                </c:pt>
                <c:pt idx="2">
                  <c:v>50.847457627118644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20-484A-BC50-957967535A57}"/>
            </c:ext>
          </c:extLst>
        </c:ser>
        <c:ser>
          <c:idx val="3"/>
          <c:order val="3"/>
          <c:tx>
            <c:strRef>
              <c:f>[1]S5_Morphotype_plots!$F$17</c:f>
              <c:strCache>
                <c:ptCount val="1"/>
                <c:pt idx="0">
                  <c:v>Film</c:v>
                </c:pt>
              </c:strCache>
            </c:strRef>
          </c:tx>
          <c:spPr>
            <a:solidFill>
              <a:srgbClr val="CC3399"/>
            </a:solidFill>
            <a:ln>
              <a:noFill/>
            </a:ln>
            <a:effectLst/>
          </c:spPr>
          <c:invertIfNegative val="0"/>
          <c:cat>
            <c:strRef>
              <c:f>[1]S5_Morphotype_plots!$B$18:$B$20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[1]S5_Morphotype_plots!$F$18:$F$20</c:f>
              <c:numCache>
                <c:formatCode>General</c:formatCode>
                <c:ptCount val="3"/>
                <c:pt idx="0">
                  <c:v>15.151515151515152</c:v>
                </c:pt>
                <c:pt idx="1">
                  <c:v>17.142857142857142</c:v>
                </c:pt>
                <c:pt idx="2">
                  <c:v>6.7796610169491522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20-484A-BC50-957967535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5091631"/>
        <c:axId val="335092591"/>
      </c:barChart>
      <c:catAx>
        <c:axId val="335091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ln w="3175">
                      <a:noFill/>
                    </a:ln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>
                    <a:ln w="3175">
                      <a:noFill/>
                    </a:ln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ln w="3175"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092591"/>
        <c:crosses val="autoZero"/>
        <c:auto val="1"/>
        <c:lblAlgn val="ctr"/>
        <c:lblOffset val="100"/>
        <c:noMultiLvlLbl val="0"/>
      </c:catAx>
      <c:valAx>
        <c:axId val="3350925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0000">
                        <a:lumMod val="95000"/>
                        <a:lumOff val="5000"/>
                      </a:srgb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Relative abundance of MPs</a:t>
                </a:r>
              </a:p>
            </c:rich>
          </c:tx>
          <c:layout>
            <c:manualLayout>
              <c:xMode val="edge"/>
              <c:yMode val="edge"/>
              <c:x val="2.5276471272211783E-2"/>
              <c:y val="0.236072037057352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09163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[1]S5_Morphotype_plots!$H$17</c:f>
              <c:strCache>
                <c:ptCount val="1"/>
                <c:pt idx="0">
                  <c:v> Red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[1]S5_Morphotype_plots!$G$18:$G$20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[1]S5_Morphotype_plots!$H$18:$H$20</c:f>
              <c:numCache>
                <c:formatCode>General</c:formatCode>
                <c:ptCount val="3"/>
                <c:pt idx="0">
                  <c:v>21.212121212121211</c:v>
                </c:pt>
                <c:pt idx="1">
                  <c:v>11.428571428571429</c:v>
                </c:pt>
                <c:pt idx="2">
                  <c:v>15.254237288135593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0-4F5A-A949-294CBEA2110E}"/>
            </c:ext>
          </c:extLst>
        </c:ser>
        <c:ser>
          <c:idx val="1"/>
          <c:order val="1"/>
          <c:tx>
            <c:strRef>
              <c:f>[1]S5_Morphotype_plots!$I$17</c:f>
              <c:strCache>
                <c:ptCount val="1"/>
                <c:pt idx="0">
                  <c:v>Green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[1]S5_Morphotype_plots!$G$18:$G$20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[1]S5_Morphotype_plots!$I$18:$I$20</c:f>
              <c:numCache>
                <c:formatCode>General</c:formatCode>
                <c:ptCount val="3"/>
                <c:pt idx="0">
                  <c:v>15.151515151515152</c:v>
                </c:pt>
                <c:pt idx="1">
                  <c:v>22.857142857142858</c:v>
                </c:pt>
                <c:pt idx="2">
                  <c:v>22.033898305084744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D0-4F5A-A949-294CBEA2110E}"/>
            </c:ext>
          </c:extLst>
        </c:ser>
        <c:ser>
          <c:idx val="2"/>
          <c:order val="2"/>
          <c:tx>
            <c:strRef>
              <c:f>[1]S5_Morphotype_plots!$J$17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[1]S5_Morphotype_plots!$G$18:$G$20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[1]S5_Morphotype_plots!$J$18:$J$20</c:f>
              <c:numCache>
                <c:formatCode>General</c:formatCode>
                <c:ptCount val="3"/>
                <c:pt idx="0">
                  <c:v>6.0606060606060606</c:v>
                </c:pt>
                <c:pt idx="1">
                  <c:v>14.285714285714285</c:v>
                </c:pt>
                <c:pt idx="2">
                  <c:v>18.64406779661017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D0-4F5A-A949-294CBEA2110E}"/>
            </c:ext>
          </c:extLst>
        </c:ser>
        <c:ser>
          <c:idx val="3"/>
          <c:order val="3"/>
          <c:tx>
            <c:strRef>
              <c:f>[1]S5_Morphotype_plots!$K$17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[1]S5_Morphotype_plots!$G$18:$G$20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[1]S5_Morphotype_plots!$K$18:$K$20</c:f>
              <c:numCache>
                <c:formatCode>General</c:formatCode>
                <c:ptCount val="3"/>
                <c:pt idx="0">
                  <c:v>42.424242424242422</c:v>
                </c:pt>
                <c:pt idx="1">
                  <c:v>14.285714285714285</c:v>
                </c:pt>
                <c:pt idx="2">
                  <c:v>33.898305084745758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D0-4F5A-A949-294CBEA2110E}"/>
            </c:ext>
          </c:extLst>
        </c:ser>
        <c:ser>
          <c:idx val="4"/>
          <c:order val="4"/>
          <c:tx>
            <c:strRef>
              <c:f>[1]S5_Morphotype_plots!$L$17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[1]S5_Morphotype_plots!$G$18:$G$20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[1]S5_Morphotype_plots!$L$18:$L$20</c:f>
              <c:numCache>
                <c:formatCode>General</c:formatCode>
                <c:ptCount val="3"/>
                <c:pt idx="0">
                  <c:v>9.0909090909090917</c:v>
                </c:pt>
                <c:pt idx="1">
                  <c:v>27.142857142857142</c:v>
                </c:pt>
                <c:pt idx="2">
                  <c:v>10.16949152542373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D0-4F5A-A949-294CBEA2110E}"/>
            </c:ext>
          </c:extLst>
        </c:ser>
        <c:ser>
          <c:idx val="5"/>
          <c:order val="5"/>
          <c:tx>
            <c:strRef>
              <c:f>[1]S5_Morphotype_plots!$M$17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[1]S5_Morphotype_plots!$G$18:$G$20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[1]S5_Morphotype_plots!$M$18:$M$20</c:f>
              <c:numCache>
                <c:formatCode>General</c:formatCode>
                <c:ptCount val="3"/>
                <c:pt idx="0">
                  <c:v>3.0303030303030303</c:v>
                </c:pt>
                <c:pt idx="1">
                  <c:v>7.1428571428571423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D0-4F5A-A949-294CBEA2110E}"/>
            </c:ext>
          </c:extLst>
        </c:ser>
        <c:ser>
          <c:idx val="6"/>
          <c:order val="6"/>
          <c:tx>
            <c:strRef>
              <c:f>[1]S5_Morphotype_plots!$N$17</c:f>
              <c:strCache>
                <c:ptCount val="1"/>
                <c:pt idx="0">
                  <c:v>Grey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[1]S5_Morphotype_plots!$G$18:$G$20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[1]S5_Morphotype_plots!$N$18:$N$20</c:f>
              <c:numCache>
                <c:formatCode>General</c:formatCode>
                <c:ptCount val="3"/>
                <c:pt idx="0">
                  <c:v>3.0303030303030303</c:v>
                </c:pt>
                <c:pt idx="1">
                  <c:v>2.8571428571428572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D0-4F5A-A949-294CBEA21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9646975"/>
        <c:axId val="339646495"/>
      </c:barChart>
      <c:catAx>
        <c:axId val="339646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9646495"/>
        <c:crosses val="autoZero"/>
        <c:auto val="1"/>
        <c:lblAlgn val="ctr"/>
        <c:lblOffset val="100"/>
        <c:noMultiLvlLbl val="0"/>
      </c:catAx>
      <c:valAx>
        <c:axId val="339646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0000">
                        <a:lumMod val="95000"/>
                        <a:lumOff val="5000"/>
                      </a:srgb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Relative abundance of MPs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964697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[1]S5_Morphotype_plots!$P$17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cat>
            <c:strRef>
              <c:f>[1]S5_Morphotype_plots!$O$18:$O$20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[1]S5_Morphotype_plots!$P$18:$P$20</c:f>
              <c:numCache>
                <c:formatCode>General</c:formatCode>
                <c:ptCount val="3"/>
                <c:pt idx="0">
                  <c:v>54.54545454545454</c:v>
                </c:pt>
                <c:pt idx="1">
                  <c:v>52.857142857142861</c:v>
                </c:pt>
                <c:pt idx="2">
                  <c:v>62.711864406779661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7-447A-87DE-8C5E972684C4}"/>
            </c:ext>
          </c:extLst>
        </c:ser>
        <c:ser>
          <c:idx val="1"/>
          <c:order val="1"/>
          <c:tx>
            <c:strRef>
              <c:f>[1]S5_Morphotype_plots!$Q$17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[1]S5_Morphotype_plots!$O$18:$O$20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[1]S5_Morphotype_plots!$Q$18:$Q$20</c:f>
              <c:numCache>
                <c:formatCode>General</c:formatCode>
                <c:ptCount val="3"/>
                <c:pt idx="0">
                  <c:v>33.333333333333329</c:v>
                </c:pt>
                <c:pt idx="1">
                  <c:v>34.285714285714285</c:v>
                </c:pt>
                <c:pt idx="2">
                  <c:v>28.8135593220339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77-447A-87DE-8C5E972684C4}"/>
            </c:ext>
          </c:extLst>
        </c:ser>
        <c:ser>
          <c:idx val="2"/>
          <c:order val="2"/>
          <c:tx>
            <c:strRef>
              <c:f>[1]S5_Morphotype_plots!$R$17</c:f>
              <c:strCache>
                <c:ptCount val="1"/>
                <c:pt idx="0">
                  <c:v>Large </c:v>
                </c:pt>
              </c:strCache>
            </c:strRef>
          </c:tx>
          <c:spPr>
            <a:solidFill>
              <a:srgbClr val="A50021"/>
            </a:solidFill>
            <a:ln>
              <a:noFill/>
            </a:ln>
            <a:effectLst/>
          </c:spPr>
          <c:invertIfNegative val="0"/>
          <c:cat>
            <c:strRef>
              <c:f>[1]S5_Morphotype_plots!$O$18:$O$20</c:f>
              <c:strCache>
                <c:ptCount val="3"/>
                <c:pt idx="0">
                  <c:v>S1</c:v>
                </c:pt>
                <c:pt idx="1">
                  <c:v>S2</c:v>
                </c:pt>
                <c:pt idx="2">
                  <c:v>S3</c:v>
                </c:pt>
              </c:strCache>
            </c:strRef>
          </c:cat>
          <c:val>
            <c:numRef>
              <c:f>[1]S5_Morphotype_plots!$R$18:$R$20</c:f>
              <c:numCache>
                <c:formatCode>General</c:formatCode>
                <c:ptCount val="3"/>
                <c:pt idx="0">
                  <c:v>12.121212121212121</c:v>
                </c:pt>
                <c:pt idx="1">
                  <c:v>12.857142857142856</c:v>
                </c:pt>
                <c:pt idx="2">
                  <c:v>8.4745762711864394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77-447A-87DE-8C5E97268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7863487"/>
        <c:axId val="377863967"/>
      </c:barChart>
      <c:catAx>
        <c:axId val="37786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77863967"/>
        <c:crosses val="autoZero"/>
        <c:auto val="1"/>
        <c:lblAlgn val="ctr"/>
        <c:lblOffset val="100"/>
        <c:noMultiLvlLbl val="0"/>
      </c:catAx>
      <c:valAx>
        <c:axId val="377863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0000">
                        <a:lumMod val="95000"/>
                        <a:lumOff val="5000"/>
                      </a:srgb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Relative abundance of MPs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solidFill>
            <a:schemeClr val="bg1"/>
          </a:solidFill>
          <a:ln w="19050">
            <a:solidFill>
              <a:schemeClr val="tx1">
                <a:alpha val="94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77863487"/>
        <c:crosses val="autoZero"/>
        <c:crossBetween val="between"/>
        <c:majorUnit val="0.2"/>
        <c:minorUnit val="4.0000000000000008E-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3807</xdr:rowOff>
    </xdr:from>
    <xdr:to>
      <xdr:col>10</xdr:col>
      <xdr:colOff>31551</xdr:colOff>
      <xdr:row>46</xdr:row>
      <xdr:rowOff>94823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E52A0F-D04F-4FC5-8CC8-F97CD2E61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254753</xdr:colOff>
      <xdr:row>22</xdr:row>
      <xdr:rowOff>0</xdr:rowOff>
    </xdr:from>
    <xdr:to>
      <xdr:col>19</xdr:col>
      <xdr:colOff>364197</xdr:colOff>
      <xdr:row>46</xdr:row>
      <xdr:rowOff>96731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986494-8B79-472D-99CA-FDF4AE087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1850</xdr:colOff>
      <xdr:row>22</xdr:row>
      <xdr:rowOff>7831</xdr:rowOff>
    </xdr:from>
    <xdr:to>
      <xdr:col>29</xdr:col>
      <xdr:colOff>143044</xdr:colOff>
      <xdr:row>46</xdr:row>
      <xdr:rowOff>100752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82EA3F-8DB9-46EC-B78A-899F977D3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4</xdr:col>
      <xdr:colOff>902970</xdr:colOff>
      <xdr:row>31</xdr:row>
      <xdr:rowOff>68380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9A220-9A0D-46F0-A29C-C3A39898E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1280160"/>
          <a:ext cx="3676650" cy="4457500"/>
        </a:xfrm>
        <a:prstGeom prst="rect">
          <a:avLst/>
        </a:prstGeom>
      </xdr:spPr>
    </xdr:pic>
    <xdr:clientData/>
  </xdr:twoCellAnchor>
  <xdr:twoCellAnchor editAs="oneCell">
    <xdr:from>
      <xdr:col>4</xdr:col>
      <xdr:colOff>922020</xdr:colOff>
      <xdr:row>6</xdr:row>
      <xdr:rowOff>121920</xdr:rowOff>
    </xdr:from>
    <xdr:to>
      <xdr:col>6</xdr:col>
      <xdr:colOff>1371600</xdr:colOff>
      <xdr:row>31</xdr:row>
      <xdr:rowOff>135254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5794ED-9C11-43E4-B9D2-12AA39502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6795" y="1264920"/>
          <a:ext cx="3716655" cy="47758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iles_11.10.26/Excel%20data%20file/Invertebrate%20Microplastic%20data_das%20and%20siddique.xlsx" TargetMode="External"/><Relationship Id="rId2" Type="http://schemas.openxmlformats.org/officeDocument/2006/relationships/externalLinkPath" Target="file:///C:\Users\Lenovo\Desktop\Das%20et%20al.,%20Crayfish_MP\Files_11.10.26\Excel%20data%20file\Invertebrate%20Microplastic%20data_das%20and%20siddique.xlsx" TargetMode="External"/><Relationship Id="rId1" Type="http://schemas.openxmlformats.org/officeDocument/2006/relationships/externalLinkPath" Target="/Users/Lenovo/Desktop/Das%20et%20al.,%20Crayfish_MP/Files_11.10.26/Excel%20data%20file/Invertebrate%20Microplastic%20data_das%20and%20siddiq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1_Biometry (mean SD)"/>
      <sheetName val="S3_MPs Morphotype"/>
      <sheetName val="S4_Abundance"/>
      <sheetName val="S6_Occurrence"/>
      <sheetName val="S5_Morphotype_plots"/>
      <sheetName val="Risk assessment"/>
      <sheetName val="S7_PHI"/>
      <sheetName val="Sheet2"/>
      <sheetName val="Polymers_stations"/>
      <sheetName val="S8_GPS coordinates"/>
      <sheetName val="S9_Polymers_data"/>
      <sheetName val="S10_items per IND"/>
      <sheetName val="Waffel Plo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C17" t="str">
            <v>Fragment</v>
          </cell>
          <cell r="D17" t="str">
            <v>Foam</v>
          </cell>
          <cell r="E17" t="str">
            <v>Fiber</v>
          </cell>
          <cell r="F17" t="str">
            <v>Film</v>
          </cell>
          <cell r="H17" t="str">
            <v xml:space="preserve"> Red</v>
          </cell>
          <cell r="I17" t="str">
            <v xml:space="preserve">Green </v>
          </cell>
          <cell r="J17" t="str">
            <v>Black</v>
          </cell>
          <cell r="K17" t="str">
            <v>Blue</v>
          </cell>
          <cell r="L17" t="str">
            <v>Yellow</v>
          </cell>
          <cell r="M17" t="str">
            <v>White</v>
          </cell>
          <cell r="N17" t="str">
            <v>Grey</v>
          </cell>
          <cell r="P17" t="str">
            <v>Small</v>
          </cell>
          <cell r="Q17" t="str">
            <v>Medium</v>
          </cell>
          <cell r="R17" t="str">
            <v xml:space="preserve">Large </v>
          </cell>
        </row>
        <row r="18">
          <cell r="B18" t="str">
            <v>S1</v>
          </cell>
          <cell r="C18">
            <v>33.333333333333329</v>
          </cell>
          <cell r="D18">
            <v>6.0606060606060606</v>
          </cell>
          <cell r="E18">
            <v>45.454545454545453</v>
          </cell>
          <cell r="F18">
            <v>15.151515151515152</v>
          </cell>
          <cell r="G18" t="str">
            <v>S1</v>
          </cell>
          <cell r="H18">
            <v>21.212121212121211</v>
          </cell>
          <cell r="I18">
            <v>15.151515151515152</v>
          </cell>
          <cell r="J18">
            <v>6.0606060606060606</v>
          </cell>
          <cell r="K18">
            <v>42.424242424242422</v>
          </cell>
          <cell r="L18">
            <v>9.0909090909090917</v>
          </cell>
          <cell r="M18">
            <v>3.0303030303030303</v>
          </cell>
          <cell r="N18">
            <v>3.0303030303030303</v>
          </cell>
          <cell r="O18" t="str">
            <v>S1</v>
          </cell>
          <cell r="P18">
            <v>54.54545454545454</v>
          </cell>
          <cell r="Q18">
            <v>33.333333333333329</v>
          </cell>
          <cell r="R18">
            <v>12.121212121212121</v>
          </cell>
        </row>
        <row r="19">
          <cell r="B19" t="str">
            <v>S2</v>
          </cell>
          <cell r="C19">
            <v>35.714285714285715</v>
          </cell>
          <cell r="D19">
            <v>18.571428571428573</v>
          </cell>
          <cell r="E19">
            <v>28.571428571428569</v>
          </cell>
          <cell r="F19">
            <v>17.142857142857142</v>
          </cell>
          <cell r="G19" t="str">
            <v>S2</v>
          </cell>
          <cell r="H19">
            <v>11.428571428571429</v>
          </cell>
          <cell r="I19">
            <v>22.857142857142858</v>
          </cell>
          <cell r="J19">
            <v>14.285714285714285</v>
          </cell>
          <cell r="K19">
            <v>14.285714285714285</v>
          </cell>
          <cell r="L19">
            <v>27.142857142857142</v>
          </cell>
          <cell r="M19">
            <v>7.1428571428571423</v>
          </cell>
          <cell r="N19">
            <v>2.8571428571428572</v>
          </cell>
          <cell r="O19" t="str">
            <v>S2</v>
          </cell>
          <cell r="P19">
            <v>52.857142857142861</v>
          </cell>
          <cell r="Q19">
            <v>34.285714285714285</v>
          </cell>
          <cell r="R19">
            <v>12.857142857142856</v>
          </cell>
        </row>
        <row r="20">
          <cell r="B20" t="str">
            <v>S3</v>
          </cell>
          <cell r="C20">
            <v>42.372881355932201</v>
          </cell>
          <cell r="D20">
            <v>0</v>
          </cell>
          <cell r="E20">
            <v>50.847457627118644</v>
          </cell>
          <cell r="F20">
            <v>6.7796610169491522</v>
          </cell>
          <cell r="G20" t="str">
            <v>S3</v>
          </cell>
          <cell r="H20">
            <v>15.254237288135593</v>
          </cell>
          <cell r="I20">
            <v>22.033898305084744</v>
          </cell>
          <cell r="J20">
            <v>18.64406779661017</v>
          </cell>
          <cell r="K20">
            <v>33.898305084745758</v>
          </cell>
          <cell r="L20">
            <v>10.16949152542373</v>
          </cell>
          <cell r="M20">
            <v>0</v>
          </cell>
          <cell r="N20">
            <v>0</v>
          </cell>
          <cell r="O20" t="str">
            <v>S3</v>
          </cell>
          <cell r="P20">
            <v>62.711864406779661</v>
          </cell>
          <cell r="Q20">
            <v>28.8135593220339</v>
          </cell>
          <cell r="R20">
            <v>8.4745762711864394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1"/>
  <sheetViews>
    <sheetView workbookViewId="0">
      <selection activeCell="L12" sqref="L12"/>
    </sheetView>
  </sheetViews>
  <sheetFormatPr defaultRowHeight="15" x14ac:dyDescent="0.25"/>
  <cols>
    <col min="3" max="3" width="17.28515625" bestFit="1" customWidth="1"/>
    <col min="4" max="4" width="17.28515625" style="7" customWidth="1"/>
    <col min="9" max="9" width="18.7109375" customWidth="1"/>
    <col min="10" max="10" width="10.7109375" bestFit="1" customWidth="1"/>
    <col min="11" max="11" width="14.140625" customWidth="1"/>
    <col min="12" max="12" width="15" customWidth="1"/>
    <col min="13" max="13" width="13.42578125" customWidth="1"/>
  </cols>
  <sheetData>
    <row r="2" spans="2:13" ht="15.75" x14ac:dyDescent="0.25">
      <c r="B2" s="1" t="s">
        <v>0</v>
      </c>
      <c r="C2" s="58" t="s">
        <v>1</v>
      </c>
      <c r="D2" s="59"/>
      <c r="E2" s="2" t="s">
        <v>2</v>
      </c>
      <c r="F2" s="2" t="s">
        <v>3</v>
      </c>
      <c r="G2" s="2" t="s">
        <v>4</v>
      </c>
      <c r="I2" s="12" t="s">
        <v>11</v>
      </c>
      <c r="J2" s="12" t="s">
        <v>12</v>
      </c>
      <c r="K2" s="12" t="s">
        <v>13</v>
      </c>
      <c r="L2" s="12" t="s">
        <v>14</v>
      </c>
      <c r="M2" s="12" t="s">
        <v>15</v>
      </c>
    </row>
    <row r="3" spans="2:13" ht="15.75" x14ac:dyDescent="0.25">
      <c r="B3" s="3">
        <v>1</v>
      </c>
      <c r="C3" s="4" t="s">
        <v>5</v>
      </c>
      <c r="D3" s="6" t="s">
        <v>8</v>
      </c>
      <c r="E3" s="4">
        <v>32.35</v>
      </c>
      <c r="F3" s="4">
        <v>67.86</v>
      </c>
      <c r="G3" s="4">
        <v>6.75</v>
      </c>
      <c r="I3" s="8" t="s">
        <v>8</v>
      </c>
      <c r="J3" s="9" t="s">
        <v>16</v>
      </c>
      <c r="K3" s="9" t="s">
        <v>17</v>
      </c>
      <c r="L3" s="9" t="s">
        <v>18</v>
      </c>
      <c r="M3" s="9" t="s">
        <v>19</v>
      </c>
    </row>
    <row r="4" spans="2:13" ht="15.75" x14ac:dyDescent="0.25">
      <c r="B4" s="3">
        <v>2</v>
      </c>
      <c r="C4" s="4" t="s">
        <v>5</v>
      </c>
      <c r="D4" s="6" t="s">
        <v>8</v>
      </c>
      <c r="E4" s="4">
        <v>36.729999999999997</v>
      </c>
      <c r="F4" s="4">
        <v>56.85</v>
      </c>
      <c r="G4" s="4">
        <v>3.73</v>
      </c>
      <c r="I4" s="8" t="s">
        <v>9</v>
      </c>
      <c r="J4" s="9" t="s">
        <v>20</v>
      </c>
      <c r="K4" s="9" t="s">
        <v>21</v>
      </c>
      <c r="L4" s="9" t="s">
        <v>22</v>
      </c>
      <c r="M4" s="9" t="s">
        <v>23</v>
      </c>
    </row>
    <row r="5" spans="2:13" ht="15.75" x14ac:dyDescent="0.25">
      <c r="B5" s="3">
        <v>3</v>
      </c>
      <c r="C5" s="4" t="s">
        <v>5</v>
      </c>
      <c r="D5" s="6" t="s">
        <v>8</v>
      </c>
      <c r="E5" s="4">
        <v>29.25</v>
      </c>
      <c r="F5" s="4">
        <v>61.25</v>
      </c>
      <c r="G5" s="4">
        <v>5.0199999999999996</v>
      </c>
      <c r="I5" s="10" t="s">
        <v>10</v>
      </c>
      <c r="J5" s="11" t="s">
        <v>24</v>
      </c>
      <c r="K5" s="11" t="s">
        <v>25</v>
      </c>
      <c r="L5" s="11" t="s">
        <v>26</v>
      </c>
      <c r="M5" s="11" t="s">
        <v>27</v>
      </c>
    </row>
    <row r="6" spans="2:13" ht="15.75" x14ac:dyDescent="0.25">
      <c r="B6" s="3">
        <v>4</v>
      </c>
      <c r="C6" s="4" t="s">
        <v>5</v>
      </c>
      <c r="D6" s="6" t="s">
        <v>8</v>
      </c>
      <c r="E6" s="5">
        <v>30.7</v>
      </c>
      <c r="F6" s="4">
        <v>65.23</v>
      </c>
      <c r="G6" s="4">
        <v>6.12</v>
      </c>
    </row>
    <row r="7" spans="2:13" ht="15.75" x14ac:dyDescent="0.25">
      <c r="B7" s="3">
        <v>5</v>
      </c>
      <c r="C7" s="4" t="s">
        <v>5</v>
      </c>
      <c r="D7" s="6" t="s">
        <v>8</v>
      </c>
      <c r="E7" s="4">
        <v>31.03</v>
      </c>
      <c r="F7" s="4">
        <v>65.78</v>
      </c>
      <c r="G7" s="4">
        <v>5.62</v>
      </c>
    </row>
    <row r="8" spans="2:13" ht="15.75" x14ac:dyDescent="0.25">
      <c r="B8" s="3">
        <v>6</v>
      </c>
      <c r="C8" s="4" t="s">
        <v>5</v>
      </c>
      <c r="D8" s="6" t="s">
        <v>8</v>
      </c>
      <c r="E8" s="4">
        <v>29.03</v>
      </c>
      <c r="F8" s="4">
        <v>59.43</v>
      </c>
      <c r="G8" s="4">
        <v>4.7699999999999996</v>
      </c>
    </row>
    <row r="9" spans="2:13" ht="15.75" x14ac:dyDescent="0.25">
      <c r="B9" s="3">
        <v>7</v>
      </c>
      <c r="C9" s="4" t="s">
        <v>5</v>
      </c>
      <c r="D9" s="6" t="s">
        <v>8</v>
      </c>
      <c r="E9" s="4">
        <v>29.82</v>
      </c>
      <c r="F9" s="4">
        <v>61.87</v>
      </c>
      <c r="G9" s="4">
        <v>5.76</v>
      </c>
    </row>
    <row r="10" spans="2:13" ht="15.75" x14ac:dyDescent="0.25">
      <c r="B10" s="3">
        <v>8</v>
      </c>
      <c r="C10" s="4" t="s">
        <v>5</v>
      </c>
      <c r="D10" s="6" t="s">
        <v>8</v>
      </c>
      <c r="E10" s="4">
        <v>35.99</v>
      </c>
      <c r="F10" s="4">
        <v>75.16</v>
      </c>
      <c r="G10" s="4">
        <v>10.62</v>
      </c>
    </row>
    <row r="11" spans="2:13" ht="15.75" x14ac:dyDescent="0.25">
      <c r="B11" s="3">
        <v>9</v>
      </c>
      <c r="C11" s="4" t="s">
        <v>5</v>
      </c>
      <c r="D11" s="6" t="s">
        <v>8</v>
      </c>
      <c r="E11" s="4">
        <v>32.090000000000003</v>
      </c>
      <c r="F11" s="4">
        <v>65.790000000000006</v>
      </c>
      <c r="G11" s="4">
        <v>7.55</v>
      </c>
    </row>
    <row r="12" spans="2:13" ht="15.75" x14ac:dyDescent="0.25">
      <c r="B12" s="3">
        <v>10</v>
      </c>
      <c r="C12" s="4" t="s">
        <v>5</v>
      </c>
      <c r="D12" s="6" t="s">
        <v>8</v>
      </c>
      <c r="E12" s="5">
        <v>29.2</v>
      </c>
      <c r="F12" s="4">
        <v>65.180000000000007</v>
      </c>
      <c r="G12" s="5">
        <v>6</v>
      </c>
    </row>
    <row r="13" spans="2:13" ht="15.75" x14ac:dyDescent="0.25">
      <c r="B13" s="3"/>
      <c r="C13" s="4"/>
      <c r="D13" s="6"/>
      <c r="E13" s="4"/>
      <c r="F13" s="4"/>
      <c r="G13" s="4"/>
    </row>
    <row r="14" spans="2:13" ht="15.75" x14ac:dyDescent="0.25">
      <c r="B14" s="3">
        <v>1</v>
      </c>
      <c r="C14" s="4" t="s">
        <v>6</v>
      </c>
      <c r="D14" s="6" t="s">
        <v>9</v>
      </c>
      <c r="E14" s="4">
        <v>30.11</v>
      </c>
      <c r="F14" s="4">
        <v>62.36</v>
      </c>
      <c r="G14" s="4">
        <v>6.62</v>
      </c>
    </row>
    <row r="15" spans="2:13" ht="15.75" x14ac:dyDescent="0.25">
      <c r="B15" s="3">
        <v>2</v>
      </c>
      <c r="C15" s="4" t="s">
        <v>6</v>
      </c>
      <c r="D15" s="6" t="s">
        <v>9</v>
      </c>
      <c r="E15" s="4">
        <v>27.27</v>
      </c>
      <c r="F15" s="4">
        <v>55.77</v>
      </c>
      <c r="G15" s="4">
        <v>4.6900000000000004</v>
      </c>
    </row>
    <row r="16" spans="2:13" ht="15.75" x14ac:dyDescent="0.25">
      <c r="B16" s="3">
        <v>3</v>
      </c>
      <c r="C16" s="4" t="s">
        <v>6</v>
      </c>
      <c r="D16" s="6" t="s">
        <v>9</v>
      </c>
      <c r="E16" s="4">
        <v>33.75</v>
      </c>
      <c r="F16" s="4">
        <v>72.180000000000007</v>
      </c>
      <c r="G16" s="4">
        <v>11.11</v>
      </c>
    </row>
    <row r="17" spans="2:7" ht="15.75" x14ac:dyDescent="0.25">
      <c r="B17" s="3">
        <v>4</v>
      </c>
      <c r="C17" s="4" t="s">
        <v>6</v>
      </c>
      <c r="D17" s="6" t="s">
        <v>9</v>
      </c>
      <c r="E17" s="4">
        <v>28.49</v>
      </c>
      <c r="F17" s="4">
        <v>59.6</v>
      </c>
      <c r="G17" s="4">
        <v>5.95</v>
      </c>
    </row>
    <row r="18" spans="2:7" ht="15.75" x14ac:dyDescent="0.25">
      <c r="B18" s="3">
        <v>5</v>
      </c>
      <c r="C18" s="4" t="s">
        <v>6</v>
      </c>
      <c r="D18" s="6" t="s">
        <v>9</v>
      </c>
      <c r="E18" s="4">
        <v>25.84</v>
      </c>
      <c r="F18" s="4">
        <v>56.4</v>
      </c>
      <c r="G18" s="4">
        <v>4.1900000000000004</v>
      </c>
    </row>
    <row r="19" spans="2:7" ht="15.75" x14ac:dyDescent="0.25">
      <c r="B19" s="3">
        <v>6</v>
      </c>
      <c r="C19" s="4" t="s">
        <v>6</v>
      </c>
      <c r="D19" s="6" t="s">
        <v>9</v>
      </c>
      <c r="E19" s="4">
        <v>24.07</v>
      </c>
      <c r="F19" s="4">
        <v>51.18</v>
      </c>
      <c r="G19" s="4">
        <v>3.84</v>
      </c>
    </row>
    <row r="20" spans="2:7" ht="15.75" x14ac:dyDescent="0.25">
      <c r="B20" s="3">
        <v>7</v>
      </c>
      <c r="C20" s="4" t="s">
        <v>6</v>
      </c>
      <c r="D20" s="6" t="s">
        <v>9</v>
      </c>
      <c r="E20" s="4">
        <v>23.61</v>
      </c>
      <c r="F20" s="4">
        <v>55.47</v>
      </c>
      <c r="G20" s="4">
        <v>4.24</v>
      </c>
    </row>
    <row r="21" spans="2:7" ht="15.75" x14ac:dyDescent="0.25">
      <c r="B21" s="3">
        <v>8</v>
      </c>
      <c r="C21" s="4" t="s">
        <v>6</v>
      </c>
      <c r="D21" s="6" t="s">
        <v>9</v>
      </c>
      <c r="E21" s="5">
        <v>25.2</v>
      </c>
      <c r="F21" s="5">
        <v>52.2</v>
      </c>
      <c r="G21" s="4">
        <v>4.04</v>
      </c>
    </row>
    <row r="22" spans="2:7" ht="15.75" x14ac:dyDescent="0.25">
      <c r="B22" s="3">
        <v>9</v>
      </c>
      <c r="C22" s="4" t="s">
        <v>6</v>
      </c>
      <c r="D22" s="6" t="s">
        <v>9</v>
      </c>
      <c r="E22" s="4">
        <v>26.42</v>
      </c>
      <c r="F22" s="4">
        <v>55.36</v>
      </c>
      <c r="G22" s="4">
        <v>4.21</v>
      </c>
    </row>
    <row r="23" spans="2:7" ht="15.75" x14ac:dyDescent="0.25">
      <c r="B23" s="3">
        <v>10</v>
      </c>
      <c r="C23" s="4" t="s">
        <v>6</v>
      </c>
      <c r="D23" s="6" t="s">
        <v>9</v>
      </c>
      <c r="E23" s="5">
        <v>31.1</v>
      </c>
      <c r="F23" s="4">
        <v>65.94</v>
      </c>
      <c r="G23" s="4">
        <v>9.26</v>
      </c>
    </row>
    <row r="24" spans="2:7" ht="15.75" x14ac:dyDescent="0.25">
      <c r="B24" s="3">
        <v>11</v>
      </c>
      <c r="C24" s="4" t="s">
        <v>6</v>
      </c>
      <c r="D24" s="6" t="s">
        <v>9</v>
      </c>
      <c r="E24" s="4">
        <v>26.23</v>
      </c>
      <c r="F24" s="4">
        <v>58.55</v>
      </c>
      <c r="G24" s="4">
        <v>5.51</v>
      </c>
    </row>
    <row r="25" spans="2:7" ht="15.75" x14ac:dyDescent="0.25">
      <c r="B25" s="3">
        <v>12</v>
      </c>
      <c r="C25" s="4" t="s">
        <v>6</v>
      </c>
      <c r="D25" s="6" t="s">
        <v>9</v>
      </c>
      <c r="E25" s="4">
        <v>31.25</v>
      </c>
      <c r="F25" s="4">
        <v>66.08</v>
      </c>
      <c r="G25" s="4">
        <v>7.24</v>
      </c>
    </row>
    <row r="26" spans="2:7" ht="15.75" x14ac:dyDescent="0.25">
      <c r="B26" s="3">
        <v>13</v>
      </c>
      <c r="C26" s="4" t="s">
        <v>6</v>
      </c>
      <c r="D26" s="6" t="s">
        <v>9</v>
      </c>
      <c r="E26" s="4">
        <v>26.67</v>
      </c>
      <c r="F26" s="4">
        <v>55.07</v>
      </c>
      <c r="G26" s="4">
        <v>5.0199999999999996</v>
      </c>
    </row>
    <row r="27" spans="2:7" ht="15.75" x14ac:dyDescent="0.25">
      <c r="B27" s="3">
        <v>14</v>
      </c>
      <c r="C27" s="4" t="s">
        <v>6</v>
      </c>
      <c r="D27" s="6" t="s">
        <v>9</v>
      </c>
      <c r="E27" s="5">
        <v>31.5</v>
      </c>
      <c r="F27" s="4">
        <v>66.150000000000006</v>
      </c>
      <c r="G27" s="4">
        <v>8.35</v>
      </c>
    </row>
    <row r="28" spans="2:7" ht="15.75" x14ac:dyDescent="0.25">
      <c r="B28" s="3">
        <v>15</v>
      </c>
      <c r="C28" s="4" t="s">
        <v>6</v>
      </c>
      <c r="D28" s="6" t="s">
        <v>9</v>
      </c>
      <c r="E28" s="5">
        <v>27.6</v>
      </c>
      <c r="F28" s="4">
        <v>56.77</v>
      </c>
      <c r="G28" s="4">
        <v>5.64</v>
      </c>
    </row>
    <row r="29" spans="2:7" ht="15.75" x14ac:dyDescent="0.25">
      <c r="B29" s="3">
        <v>16</v>
      </c>
      <c r="C29" s="4" t="s">
        <v>6</v>
      </c>
      <c r="D29" s="6" t="s">
        <v>9</v>
      </c>
      <c r="E29" s="5">
        <v>30.8</v>
      </c>
      <c r="F29" s="4">
        <v>65.55</v>
      </c>
      <c r="G29" s="4">
        <v>8.0299999999999994</v>
      </c>
    </row>
    <row r="30" spans="2:7" ht="15.75" x14ac:dyDescent="0.25">
      <c r="B30" s="3">
        <v>17</v>
      </c>
      <c r="C30" s="4" t="s">
        <v>6</v>
      </c>
      <c r="D30" s="6" t="s">
        <v>9</v>
      </c>
      <c r="E30" s="4">
        <v>33.51</v>
      </c>
      <c r="F30" s="4">
        <v>70.41</v>
      </c>
      <c r="G30" s="5">
        <v>8.4</v>
      </c>
    </row>
    <row r="31" spans="2:7" ht="15.75" x14ac:dyDescent="0.25">
      <c r="B31" s="3"/>
      <c r="C31" s="4"/>
      <c r="D31" s="6"/>
      <c r="E31" s="4"/>
      <c r="F31" s="4"/>
      <c r="G31" s="4"/>
    </row>
    <row r="32" spans="2:7" ht="15.75" x14ac:dyDescent="0.25">
      <c r="B32" s="3">
        <v>1</v>
      </c>
      <c r="C32" s="4" t="s">
        <v>7</v>
      </c>
      <c r="D32" s="6" t="s">
        <v>10</v>
      </c>
      <c r="E32" s="4">
        <v>28.39</v>
      </c>
      <c r="F32" s="4">
        <v>58.03</v>
      </c>
      <c r="G32" s="4">
        <v>5.13</v>
      </c>
    </row>
    <row r="33" spans="2:7" ht="15.75" x14ac:dyDescent="0.25">
      <c r="B33" s="3">
        <v>2</v>
      </c>
      <c r="C33" s="4" t="s">
        <v>7</v>
      </c>
      <c r="D33" s="6" t="s">
        <v>10</v>
      </c>
      <c r="E33" s="5">
        <v>32</v>
      </c>
      <c r="F33" s="5">
        <v>69</v>
      </c>
      <c r="G33" s="4">
        <v>7.93</v>
      </c>
    </row>
    <row r="34" spans="2:7" ht="15.75" x14ac:dyDescent="0.25">
      <c r="B34" s="3">
        <v>3</v>
      </c>
      <c r="C34" s="4" t="s">
        <v>7</v>
      </c>
      <c r="D34" s="6" t="s">
        <v>10</v>
      </c>
      <c r="E34" s="4">
        <v>28.51</v>
      </c>
      <c r="F34" s="4">
        <v>78.92</v>
      </c>
      <c r="G34" s="4">
        <v>5.43</v>
      </c>
    </row>
    <row r="35" spans="2:7" ht="15.75" x14ac:dyDescent="0.25">
      <c r="B35" s="3">
        <v>4</v>
      </c>
      <c r="C35" s="4" t="s">
        <v>7</v>
      </c>
      <c r="D35" s="6" t="s">
        <v>10</v>
      </c>
      <c r="E35" s="4">
        <v>31.77</v>
      </c>
      <c r="F35" s="4">
        <v>63.73</v>
      </c>
      <c r="G35" s="4">
        <v>6.46</v>
      </c>
    </row>
    <row r="36" spans="2:7" ht="15.75" x14ac:dyDescent="0.25">
      <c r="B36" s="3">
        <v>5</v>
      </c>
      <c r="C36" s="4" t="s">
        <v>7</v>
      </c>
      <c r="D36" s="6" t="s">
        <v>10</v>
      </c>
      <c r="E36" s="4">
        <v>38.630000000000003</v>
      </c>
      <c r="F36" s="4">
        <v>79.63</v>
      </c>
      <c r="G36" s="4">
        <v>12.51</v>
      </c>
    </row>
    <row r="37" spans="2:7" ht="15.75" x14ac:dyDescent="0.25">
      <c r="B37" s="3">
        <v>6</v>
      </c>
      <c r="C37" s="4" t="s">
        <v>7</v>
      </c>
      <c r="D37" s="6" t="s">
        <v>10</v>
      </c>
      <c r="E37" s="4">
        <v>33.71</v>
      </c>
      <c r="F37" s="4">
        <v>67.510000000000005</v>
      </c>
      <c r="G37" s="4">
        <v>9.61</v>
      </c>
    </row>
    <row r="38" spans="2:7" ht="15.75" x14ac:dyDescent="0.25">
      <c r="B38" s="3">
        <v>7</v>
      </c>
      <c r="C38" s="4" t="s">
        <v>7</v>
      </c>
      <c r="D38" s="6" t="s">
        <v>10</v>
      </c>
      <c r="E38" s="5">
        <v>34.200000000000003</v>
      </c>
      <c r="F38" s="4">
        <v>70.33</v>
      </c>
      <c r="G38" s="4">
        <v>9.39</v>
      </c>
    </row>
    <row r="39" spans="2:7" ht="15.75" x14ac:dyDescent="0.25">
      <c r="B39" s="3">
        <v>8</v>
      </c>
      <c r="C39" s="4" t="s">
        <v>7</v>
      </c>
      <c r="D39" s="6" t="s">
        <v>10</v>
      </c>
      <c r="E39" s="4">
        <v>34.659999999999997</v>
      </c>
      <c r="F39" s="4">
        <v>73.02</v>
      </c>
      <c r="G39" s="4">
        <v>10.79</v>
      </c>
    </row>
    <row r="40" spans="2:7" ht="15.75" x14ac:dyDescent="0.25">
      <c r="B40" s="3">
        <v>9</v>
      </c>
      <c r="C40" s="4" t="s">
        <v>7</v>
      </c>
      <c r="D40" s="6" t="s">
        <v>10</v>
      </c>
      <c r="E40" s="4">
        <v>32.76</v>
      </c>
      <c r="F40" s="4">
        <v>68.91</v>
      </c>
      <c r="G40" s="4">
        <v>7.71</v>
      </c>
    </row>
    <row r="41" spans="2:7" ht="15.75" x14ac:dyDescent="0.25">
      <c r="B41" s="3">
        <v>10</v>
      </c>
      <c r="C41" s="4" t="s">
        <v>7</v>
      </c>
      <c r="D41" s="6" t="s">
        <v>10</v>
      </c>
      <c r="E41" s="4">
        <v>31.38</v>
      </c>
      <c r="F41" s="4">
        <v>64.739999999999995</v>
      </c>
      <c r="G41" s="4">
        <v>8.5500000000000007</v>
      </c>
    </row>
    <row r="42" spans="2:7" ht="15.75" x14ac:dyDescent="0.25">
      <c r="B42" s="3">
        <v>11</v>
      </c>
      <c r="C42" s="4" t="s">
        <v>7</v>
      </c>
      <c r="D42" s="6" t="s">
        <v>10</v>
      </c>
      <c r="E42" s="5">
        <v>29.2</v>
      </c>
      <c r="F42" s="5">
        <v>59.8</v>
      </c>
      <c r="G42" s="4">
        <v>4.8600000000000003</v>
      </c>
    </row>
    <row r="43" spans="2:7" ht="15.75" x14ac:dyDescent="0.25">
      <c r="B43" s="3">
        <v>12</v>
      </c>
      <c r="C43" s="4" t="s">
        <v>7</v>
      </c>
      <c r="D43" s="6" t="s">
        <v>10</v>
      </c>
      <c r="E43" s="4">
        <v>30.87</v>
      </c>
      <c r="F43" s="4">
        <v>66.02</v>
      </c>
      <c r="G43" s="4">
        <v>6.63</v>
      </c>
    </row>
    <row r="44" spans="2:7" ht="15.75" x14ac:dyDescent="0.25">
      <c r="B44" s="3">
        <v>13</v>
      </c>
      <c r="C44" s="4" t="s">
        <v>7</v>
      </c>
      <c r="D44" s="6" t="s">
        <v>10</v>
      </c>
      <c r="E44" s="4">
        <v>32.729999999999997</v>
      </c>
      <c r="F44" s="4">
        <v>65.709999999999994</v>
      </c>
      <c r="G44" s="4">
        <v>6.62</v>
      </c>
    </row>
    <row r="45" spans="2:7" ht="15.75" x14ac:dyDescent="0.25">
      <c r="B45" s="3">
        <v>14</v>
      </c>
      <c r="C45" s="4" t="s">
        <v>7</v>
      </c>
      <c r="D45" s="6" t="s">
        <v>10</v>
      </c>
      <c r="E45" s="4">
        <v>28.44</v>
      </c>
      <c r="F45" s="4">
        <v>57.49</v>
      </c>
      <c r="G45" s="4">
        <v>4.55</v>
      </c>
    </row>
    <row r="46" spans="2:7" ht="15.75" x14ac:dyDescent="0.25">
      <c r="B46" s="3">
        <v>15</v>
      </c>
      <c r="C46" s="4" t="s">
        <v>7</v>
      </c>
      <c r="D46" s="6" t="s">
        <v>10</v>
      </c>
      <c r="E46" s="4">
        <v>33.159999999999997</v>
      </c>
      <c r="F46" s="4">
        <v>67.97</v>
      </c>
      <c r="G46" s="5">
        <v>9.1999999999999993</v>
      </c>
    </row>
    <row r="47" spans="2:7" ht="15.75" x14ac:dyDescent="0.25">
      <c r="B47" s="3">
        <v>16</v>
      </c>
      <c r="C47" s="4" t="s">
        <v>7</v>
      </c>
      <c r="D47" s="6" t="s">
        <v>10</v>
      </c>
      <c r="E47" s="4">
        <v>33.69</v>
      </c>
      <c r="F47" s="4">
        <v>69.47</v>
      </c>
      <c r="G47" s="4">
        <v>9.4499999999999993</v>
      </c>
    </row>
    <row r="48" spans="2:7" ht="15.75" x14ac:dyDescent="0.25">
      <c r="B48" s="3">
        <v>17</v>
      </c>
      <c r="C48" s="4" t="s">
        <v>7</v>
      </c>
      <c r="D48" s="6" t="s">
        <v>10</v>
      </c>
      <c r="E48" s="4">
        <v>29.96</v>
      </c>
      <c r="F48" s="4">
        <v>64.41</v>
      </c>
      <c r="G48" s="4">
        <v>6.79</v>
      </c>
    </row>
    <row r="49" spans="2:7" ht="15.75" x14ac:dyDescent="0.25">
      <c r="B49" s="3">
        <v>18</v>
      </c>
      <c r="C49" s="4" t="s">
        <v>7</v>
      </c>
      <c r="D49" s="6" t="s">
        <v>10</v>
      </c>
      <c r="E49" s="4">
        <v>31.84</v>
      </c>
      <c r="F49" s="4">
        <v>67.28</v>
      </c>
      <c r="G49" s="4">
        <v>8.02</v>
      </c>
    </row>
    <row r="50" spans="2:7" ht="15.75" x14ac:dyDescent="0.25">
      <c r="B50" s="3">
        <v>19</v>
      </c>
      <c r="C50" s="4" t="s">
        <v>7</v>
      </c>
      <c r="D50" s="6" t="s">
        <v>10</v>
      </c>
      <c r="E50" s="4">
        <v>30.97</v>
      </c>
      <c r="F50" s="4">
        <v>65.959999999999994</v>
      </c>
      <c r="G50" s="4">
        <v>6.76</v>
      </c>
    </row>
    <row r="51" spans="2:7" ht="15.75" x14ac:dyDescent="0.25">
      <c r="B51" s="3">
        <v>20</v>
      </c>
      <c r="C51" s="4" t="s">
        <v>7</v>
      </c>
      <c r="D51" s="6" t="s">
        <v>10</v>
      </c>
      <c r="E51" s="4">
        <v>29.46</v>
      </c>
      <c r="F51" s="4">
        <v>61.44</v>
      </c>
      <c r="G51" s="4">
        <v>7.02</v>
      </c>
    </row>
  </sheetData>
  <mergeCells count="1">
    <mergeCell ref="C2:D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B5A0-C81A-4DDB-B96F-0CE78D352039}">
  <dimension ref="B3:AI159"/>
  <sheetViews>
    <sheetView tabSelected="1" zoomScale="70" zoomScaleNormal="70" workbookViewId="0">
      <selection activeCell="M68" sqref="M68:M107"/>
    </sheetView>
  </sheetViews>
  <sheetFormatPr defaultColWidth="8.85546875" defaultRowHeight="15" x14ac:dyDescent="0.25"/>
  <cols>
    <col min="1" max="1" width="8.85546875" style="13"/>
    <col min="2" max="2" width="9.7109375" style="13" bestFit="1" customWidth="1"/>
    <col min="3" max="3" width="10.5703125" style="13" bestFit="1" customWidth="1"/>
    <col min="4" max="4" width="12.42578125" style="13" customWidth="1"/>
    <col min="5" max="5" width="11.28515625" style="13" bestFit="1" customWidth="1"/>
    <col min="6" max="7" width="8.85546875" style="13"/>
    <col min="8" max="8" width="10" style="13" bestFit="1" customWidth="1"/>
    <col min="9" max="9" width="8.85546875" style="13"/>
    <col min="10" max="10" width="8.85546875" style="19"/>
    <col min="11" max="12" width="17" style="13" customWidth="1"/>
    <col min="13" max="13" width="38.5703125" style="13" bestFit="1" customWidth="1"/>
    <col min="14" max="14" width="39.140625" style="15" bestFit="1" customWidth="1"/>
    <col min="15" max="24" width="8.85546875" style="13"/>
    <col min="25" max="25" width="10.42578125" style="13" customWidth="1"/>
    <col min="26" max="26" width="13" style="13" customWidth="1"/>
    <col min="27" max="27" width="14.42578125" style="13" bestFit="1" customWidth="1"/>
    <col min="28" max="28" width="11.7109375" style="13" customWidth="1"/>
    <col min="29" max="16384" width="8.85546875" style="13"/>
  </cols>
  <sheetData>
    <row r="3" spans="2:28" x14ac:dyDescent="0.25">
      <c r="Y3" s="56" t="s">
        <v>28</v>
      </c>
      <c r="Z3" s="56"/>
      <c r="AA3" s="56"/>
      <c r="AB3" s="56"/>
    </row>
    <row r="4" spans="2:28" ht="14.45" customHeight="1" x14ac:dyDescent="0.25">
      <c r="B4" s="54" t="s">
        <v>29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P4" s="55" t="s">
        <v>30</v>
      </c>
      <c r="Q4" s="55"/>
      <c r="R4" s="55"/>
      <c r="S4" s="55"/>
      <c r="T4" s="55"/>
      <c r="U4" s="55"/>
      <c r="V4" s="55"/>
      <c r="W4" s="55"/>
      <c r="Y4" s="28" t="s">
        <v>31</v>
      </c>
      <c r="Z4" s="28" t="s">
        <v>32</v>
      </c>
      <c r="AA4" s="28" t="s">
        <v>33</v>
      </c>
      <c r="AB4" s="57" t="s">
        <v>40</v>
      </c>
    </row>
    <row r="5" spans="2:28" x14ac:dyDescent="0.25">
      <c r="B5" s="14" t="s">
        <v>149</v>
      </c>
      <c r="C5" s="14" t="s">
        <v>1</v>
      </c>
      <c r="D5" s="14" t="s">
        <v>34</v>
      </c>
      <c r="E5" s="14" t="s">
        <v>35</v>
      </c>
      <c r="F5" s="14" t="s">
        <v>36</v>
      </c>
      <c r="G5" s="14" t="s">
        <v>37</v>
      </c>
      <c r="H5" s="14" t="s">
        <v>38</v>
      </c>
      <c r="I5" s="14" t="s">
        <v>39</v>
      </c>
      <c r="J5" s="20" t="s">
        <v>40</v>
      </c>
      <c r="K5" s="14" t="s">
        <v>370</v>
      </c>
      <c r="L5" s="14" t="s">
        <v>372</v>
      </c>
      <c r="M5" s="69" t="s">
        <v>373</v>
      </c>
      <c r="N5" s="16" t="s">
        <v>371</v>
      </c>
      <c r="P5" s="20" t="s">
        <v>42</v>
      </c>
      <c r="Q5" s="20" t="s">
        <v>43</v>
      </c>
      <c r="R5" s="20" t="s">
        <v>44</v>
      </c>
      <c r="S5" s="20" t="s">
        <v>45</v>
      </c>
      <c r="T5" s="20" t="s">
        <v>46</v>
      </c>
      <c r="U5" s="20" t="s">
        <v>47</v>
      </c>
      <c r="V5" s="20" t="s">
        <v>48</v>
      </c>
      <c r="W5" s="20" t="s">
        <v>40</v>
      </c>
      <c r="Y5" s="29" t="s">
        <v>49</v>
      </c>
      <c r="Z5" s="29" t="s">
        <v>50</v>
      </c>
      <c r="AA5" s="29" t="s">
        <v>51</v>
      </c>
      <c r="AB5" s="70"/>
    </row>
    <row r="6" spans="2:28" x14ac:dyDescent="0.25">
      <c r="B6" s="13" t="s">
        <v>149</v>
      </c>
      <c r="C6" s="13" t="s">
        <v>52</v>
      </c>
      <c r="D6" s="13" t="s">
        <v>53</v>
      </c>
      <c r="E6" s="13" t="s">
        <v>54</v>
      </c>
      <c r="F6" s="19">
        <v>3</v>
      </c>
      <c r="G6" s="19"/>
      <c r="H6" s="19">
        <v>4</v>
      </c>
      <c r="I6" s="19"/>
      <c r="J6" s="19">
        <v>7</v>
      </c>
      <c r="K6" s="15">
        <v>6.75</v>
      </c>
      <c r="L6" s="15">
        <v>0.22670000000000001</v>
      </c>
      <c r="M6" s="15">
        <f>J6/L6</f>
        <v>30.877812086457872</v>
      </c>
      <c r="N6" s="15">
        <v>1.037037037037037</v>
      </c>
      <c r="P6" s="19">
        <v>1</v>
      </c>
      <c r="Q6" s="19">
        <v>1</v>
      </c>
      <c r="R6" s="19"/>
      <c r="S6" s="19">
        <v>5</v>
      </c>
      <c r="T6" s="19"/>
      <c r="U6" s="19"/>
      <c r="V6" s="19"/>
      <c r="W6" s="19">
        <v>7</v>
      </c>
      <c r="Y6" s="19">
        <v>5</v>
      </c>
      <c r="Z6" s="19">
        <v>1</v>
      </c>
      <c r="AA6" s="19">
        <v>1</v>
      </c>
      <c r="AB6" s="19">
        <v>7</v>
      </c>
    </row>
    <row r="7" spans="2:28" x14ac:dyDescent="0.25">
      <c r="B7" s="13" t="s">
        <v>149</v>
      </c>
      <c r="D7" s="13" t="s">
        <v>53</v>
      </c>
      <c r="E7" s="13" t="s">
        <v>55</v>
      </c>
      <c r="F7" s="19">
        <v>3</v>
      </c>
      <c r="G7" s="19">
        <v>1</v>
      </c>
      <c r="H7" s="19">
        <v>1</v>
      </c>
      <c r="I7" s="19"/>
      <c r="J7" s="19">
        <v>5</v>
      </c>
      <c r="K7" s="15">
        <v>3.73</v>
      </c>
      <c r="L7" s="15">
        <v>0.12089999999999999</v>
      </c>
      <c r="M7" s="15">
        <f t="shared" ref="M7:M25" si="0">J7/L7</f>
        <v>41.3564929693962</v>
      </c>
      <c r="N7" s="15">
        <v>1.3404825737265416</v>
      </c>
      <c r="P7" s="19"/>
      <c r="Q7" s="19">
        <v>1</v>
      </c>
      <c r="R7" s="19"/>
      <c r="S7" s="19">
        <v>2</v>
      </c>
      <c r="T7" s="19">
        <v>2</v>
      </c>
      <c r="U7" s="19"/>
      <c r="V7" s="19"/>
      <c r="W7" s="19">
        <v>5</v>
      </c>
      <c r="Y7" s="19">
        <v>3</v>
      </c>
      <c r="Z7" s="19">
        <v>1</v>
      </c>
      <c r="AA7" s="19">
        <v>1</v>
      </c>
      <c r="AB7" s="19">
        <v>5</v>
      </c>
    </row>
    <row r="8" spans="2:28" x14ac:dyDescent="0.25">
      <c r="B8" s="13" t="s">
        <v>149</v>
      </c>
      <c r="D8" s="13" t="s">
        <v>53</v>
      </c>
      <c r="E8" s="13" t="s">
        <v>56</v>
      </c>
      <c r="F8" s="19">
        <v>1</v>
      </c>
      <c r="G8" s="19"/>
      <c r="H8" s="19"/>
      <c r="I8" s="19">
        <v>2</v>
      </c>
      <c r="J8" s="19">
        <v>3</v>
      </c>
      <c r="K8" s="15">
        <v>5.0199999999999996</v>
      </c>
      <c r="L8" s="15">
        <v>0.11600000000000001</v>
      </c>
      <c r="M8" s="15">
        <f t="shared" si="0"/>
        <v>25.862068965517238</v>
      </c>
      <c r="N8" s="15">
        <v>0.59760956175298807</v>
      </c>
      <c r="P8" s="19"/>
      <c r="Q8" s="19"/>
      <c r="R8" s="19"/>
      <c r="S8" s="19">
        <v>3</v>
      </c>
      <c r="T8" s="19"/>
      <c r="U8" s="19"/>
      <c r="V8" s="19"/>
      <c r="W8" s="19">
        <v>3</v>
      </c>
      <c r="Y8" s="19">
        <v>2</v>
      </c>
      <c r="Z8" s="19">
        <v>1</v>
      </c>
      <c r="AA8" s="19"/>
      <c r="AB8" s="19">
        <v>3</v>
      </c>
    </row>
    <row r="9" spans="2:28" x14ac:dyDescent="0.25">
      <c r="B9" s="13" t="s">
        <v>149</v>
      </c>
      <c r="D9" s="13" t="s">
        <v>53</v>
      </c>
      <c r="E9" s="13" t="s">
        <v>57</v>
      </c>
      <c r="F9" s="19">
        <v>1</v>
      </c>
      <c r="G9" s="19"/>
      <c r="H9" s="19">
        <v>2</v>
      </c>
      <c r="I9" s="19"/>
      <c r="J9" s="19">
        <v>3</v>
      </c>
      <c r="K9" s="15">
        <v>6.12</v>
      </c>
      <c r="L9" s="15">
        <v>0.2175</v>
      </c>
      <c r="M9" s="15">
        <f t="shared" si="0"/>
        <v>13.793103448275863</v>
      </c>
      <c r="N9" s="15">
        <v>0.49019607843137253</v>
      </c>
      <c r="P9" s="19">
        <v>1</v>
      </c>
      <c r="Q9" s="19"/>
      <c r="R9" s="19"/>
      <c r="S9" s="19">
        <v>2</v>
      </c>
      <c r="T9" s="19"/>
      <c r="U9" s="19"/>
      <c r="V9" s="19"/>
      <c r="W9" s="19">
        <v>3</v>
      </c>
      <c r="Y9" s="19">
        <v>2</v>
      </c>
      <c r="Z9" s="19">
        <v>1</v>
      </c>
      <c r="AA9" s="19"/>
      <c r="AB9" s="19">
        <v>3</v>
      </c>
    </row>
    <row r="10" spans="2:28" x14ac:dyDescent="0.25">
      <c r="B10" s="13" t="s">
        <v>149</v>
      </c>
      <c r="D10" s="13" t="s">
        <v>53</v>
      </c>
      <c r="E10" s="13" t="s">
        <v>58</v>
      </c>
      <c r="F10" s="19"/>
      <c r="G10" s="19"/>
      <c r="H10" s="19"/>
      <c r="I10" s="19"/>
      <c r="J10" s="19">
        <v>0</v>
      </c>
      <c r="K10" s="15">
        <v>5.62</v>
      </c>
      <c r="L10" s="15">
        <v>0.25700000000000001</v>
      </c>
      <c r="M10" s="15">
        <f t="shared" si="0"/>
        <v>0</v>
      </c>
      <c r="N10" s="15">
        <v>0</v>
      </c>
      <c r="P10" s="19"/>
      <c r="Q10" s="19"/>
      <c r="R10" s="19"/>
      <c r="S10" s="19"/>
      <c r="T10" s="19"/>
      <c r="U10" s="19"/>
      <c r="V10" s="19"/>
      <c r="W10" s="19">
        <v>0</v>
      </c>
      <c r="Y10" s="19"/>
      <c r="Z10" s="19"/>
      <c r="AA10" s="19"/>
      <c r="AB10" s="19">
        <v>0</v>
      </c>
    </row>
    <row r="11" spans="2:28" x14ac:dyDescent="0.25">
      <c r="B11" s="13" t="s">
        <v>149</v>
      </c>
      <c r="D11" s="13" t="s">
        <v>53</v>
      </c>
      <c r="E11" s="13" t="s">
        <v>59</v>
      </c>
      <c r="F11" s="19"/>
      <c r="G11" s="19"/>
      <c r="H11" s="19"/>
      <c r="I11" s="19"/>
      <c r="J11" s="19">
        <v>0</v>
      </c>
      <c r="K11" s="15">
        <v>4.7699999999999996</v>
      </c>
      <c r="L11" s="15">
        <v>0.17150000000000001</v>
      </c>
      <c r="M11" s="15">
        <f t="shared" si="0"/>
        <v>0</v>
      </c>
      <c r="N11" s="15">
        <v>0</v>
      </c>
      <c r="P11" s="19"/>
      <c r="Q11" s="19"/>
      <c r="R11" s="19"/>
      <c r="S11" s="19"/>
      <c r="T11" s="19"/>
      <c r="U11" s="19"/>
      <c r="V11" s="19"/>
      <c r="W11" s="19">
        <v>0</v>
      </c>
      <c r="Y11" s="19"/>
      <c r="Z11" s="19"/>
      <c r="AA11" s="19"/>
      <c r="AB11" s="19">
        <v>0</v>
      </c>
    </row>
    <row r="12" spans="2:28" x14ac:dyDescent="0.25">
      <c r="B12" s="13" t="s">
        <v>149</v>
      </c>
      <c r="D12" s="13" t="s">
        <v>53</v>
      </c>
      <c r="E12" s="13" t="s">
        <v>60</v>
      </c>
      <c r="F12" s="19"/>
      <c r="G12" s="19"/>
      <c r="H12" s="19"/>
      <c r="I12" s="19"/>
      <c r="J12" s="19">
        <v>0</v>
      </c>
      <c r="K12" s="15">
        <v>5.76</v>
      </c>
      <c r="L12" s="15">
        <v>0.1658</v>
      </c>
      <c r="M12" s="15">
        <f t="shared" si="0"/>
        <v>0</v>
      </c>
      <c r="N12" s="15">
        <v>0</v>
      </c>
      <c r="P12" s="19"/>
      <c r="Q12" s="19"/>
      <c r="R12" s="19"/>
      <c r="S12" s="19"/>
      <c r="T12" s="19"/>
      <c r="U12" s="19"/>
      <c r="V12" s="19"/>
      <c r="W12" s="19">
        <v>0</v>
      </c>
      <c r="Y12" s="19"/>
      <c r="Z12" s="19"/>
      <c r="AA12" s="19"/>
      <c r="AB12" s="19">
        <v>0</v>
      </c>
    </row>
    <row r="13" spans="2:28" x14ac:dyDescent="0.25">
      <c r="B13" s="13" t="s">
        <v>149</v>
      </c>
      <c r="D13" s="13" t="s">
        <v>53</v>
      </c>
      <c r="E13" s="13" t="s">
        <v>61</v>
      </c>
      <c r="F13" s="19"/>
      <c r="G13" s="19"/>
      <c r="H13" s="19"/>
      <c r="I13" s="19"/>
      <c r="J13" s="19">
        <v>0</v>
      </c>
      <c r="K13" s="15">
        <v>10.62</v>
      </c>
      <c r="L13" s="15">
        <v>0.36559999999999998</v>
      </c>
      <c r="M13" s="15">
        <f t="shared" si="0"/>
        <v>0</v>
      </c>
      <c r="N13" s="15">
        <v>0</v>
      </c>
      <c r="P13" s="19"/>
      <c r="Q13" s="19"/>
      <c r="R13" s="19"/>
      <c r="S13" s="19"/>
      <c r="T13" s="19"/>
      <c r="U13" s="19"/>
      <c r="V13" s="19"/>
      <c r="W13" s="19">
        <v>0</v>
      </c>
      <c r="Y13" s="19"/>
      <c r="Z13" s="19"/>
      <c r="AA13" s="19"/>
      <c r="AB13" s="19">
        <v>0</v>
      </c>
    </row>
    <row r="14" spans="2:28" x14ac:dyDescent="0.25">
      <c r="B14" s="13" t="s">
        <v>149</v>
      </c>
      <c r="D14" s="13" t="s">
        <v>53</v>
      </c>
      <c r="E14" s="13" t="s">
        <v>62</v>
      </c>
      <c r="F14" s="19">
        <v>1</v>
      </c>
      <c r="G14" s="19"/>
      <c r="H14" s="19"/>
      <c r="I14" s="19"/>
      <c r="J14" s="19">
        <v>1</v>
      </c>
      <c r="K14" s="15">
        <v>7.55</v>
      </c>
      <c r="L14" s="15">
        <v>0.23830000000000001</v>
      </c>
      <c r="M14" s="15">
        <f t="shared" si="0"/>
        <v>4.1963911036508597</v>
      </c>
      <c r="N14" s="15">
        <v>0.13245033112582782</v>
      </c>
      <c r="P14" s="19">
        <v>1</v>
      </c>
      <c r="Q14" s="19"/>
      <c r="R14" s="19"/>
      <c r="S14" s="19"/>
      <c r="T14" s="19"/>
      <c r="U14" s="19"/>
      <c r="V14" s="19"/>
      <c r="W14" s="19">
        <v>1</v>
      </c>
      <c r="Y14" s="19">
        <v>1</v>
      </c>
      <c r="Z14" s="19"/>
      <c r="AA14" s="19"/>
      <c r="AB14" s="19">
        <v>1</v>
      </c>
    </row>
    <row r="15" spans="2:28" x14ac:dyDescent="0.25">
      <c r="B15" s="13" t="s">
        <v>149</v>
      </c>
      <c r="D15" s="13" t="s">
        <v>53</v>
      </c>
      <c r="E15" s="13" t="s">
        <v>63</v>
      </c>
      <c r="F15" s="19"/>
      <c r="G15" s="19"/>
      <c r="H15" s="19">
        <v>1</v>
      </c>
      <c r="I15" s="19"/>
      <c r="J15" s="19">
        <v>1</v>
      </c>
      <c r="K15" s="15">
        <v>6</v>
      </c>
      <c r="L15" s="15">
        <v>0.24460000000000001</v>
      </c>
      <c r="M15" s="15">
        <f t="shared" si="0"/>
        <v>4.0883074407195421</v>
      </c>
      <c r="N15" s="15">
        <v>0.16666666666666666</v>
      </c>
      <c r="P15" s="19">
        <v>1</v>
      </c>
      <c r="Q15" s="19"/>
      <c r="R15" s="19"/>
      <c r="S15" s="19"/>
      <c r="T15" s="19"/>
      <c r="U15" s="19"/>
      <c r="V15" s="19"/>
      <c r="W15" s="19">
        <v>1</v>
      </c>
      <c r="Y15" s="19">
        <v>1</v>
      </c>
      <c r="Z15" s="19"/>
      <c r="AA15" s="19"/>
      <c r="AB15" s="19">
        <v>1</v>
      </c>
    </row>
    <row r="16" spans="2:28" x14ac:dyDescent="0.25">
      <c r="B16" s="13" t="s">
        <v>149</v>
      </c>
      <c r="D16" s="13" t="s">
        <v>64</v>
      </c>
      <c r="E16" s="13" t="s">
        <v>65</v>
      </c>
      <c r="F16" s="19">
        <v>2</v>
      </c>
      <c r="G16" s="19"/>
      <c r="H16" s="19"/>
      <c r="I16" s="19"/>
      <c r="J16" s="19">
        <v>2</v>
      </c>
      <c r="K16" s="15">
        <v>6.75</v>
      </c>
      <c r="L16" s="15">
        <v>0.52939999999999998</v>
      </c>
      <c r="M16" s="15">
        <f t="shared" si="0"/>
        <v>3.7778617302606725</v>
      </c>
      <c r="N16" s="15">
        <v>0.29629629629629628</v>
      </c>
      <c r="P16" s="19">
        <v>1</v>
      </c>
      <c r="Q16" s="19">
        <v>1</v>
      </c>
      <c r="R16" s="19"/>
      <c r="S16" s="19"/>
      <c r="T16" s="19"/>
      <c r="U16" s="19"/>
      <c r="V16" s="19"/>
      <c r="W16" s="19">
        <v>2</v>
      </c>
      <c r="Y16" s="19">
        <v>2</v>
      </c>
      <c r="Z16" s="19"/>
      <c r="AA16" s="19"/>
      <c r="AB16" s="19">
        <v>2</v>
      </c>
    </row>
    <row r="17" spans="2:28" x14ac:dyDescent="0.25">
      <c r="B17" s="13" t="s">
        <v>149</v>
      </c>
      <c r="D17" s="13" t="s">
        <v>64</v>
      </c>
      <c r="E17" s="13" t="s">
        <v>66</v>
      </c>
      <c r="F17" s="19"/>
      <c r="G17" s="19"/>
      <c r="H17" s="19"/>
      <c r="I17" s="19"/>
      <c r="J17" s="19">
        <v>0</v>
      </c>
      <c r="K17" s="15">
        <v>3.73</v>
      </c>
      <c r="L17" s="15">
        <v>0.33629999999999999</v>
      </c>
      <c r="M17" s="15">
        <f t="shared" si="0"/>
        <v>0</v>
      </c>
      <c r="N17" s="15">
        <v>0</v>
      </c>
      <c r="P17" s="19"/>
      <c r="Q17" s="19"/>
      <c r="R17" s="19"/>
      <c r="S17" s="19"/>
      <c r="T17" s="19"/>
      <c r="U17" s="19"/>
      <c r="V17" s="19"/>
      <c r="W17" s="19">
        <v>0</v>
      </c>
      <c r="Y17" s="19"/>
      <c r="Z17" s="19"/>
      <c r="AA17" s="19"/>
      <c r="AB17" s="19">
        <v>0</v>
      </c>
    </row>
    <row r="18" spans="2:28" x14ac:dyDescent="0.25">
      <c r="B18" s="13" t="s">
        <v>149</v>
      </c>
      <c r="D18" s="13" t="s">
        <v>64</v>
      </c>
      <c r="E18" s="13" t="s">
        <v>67</v>
      </c>
      <c r="F18" s="19"/>
      <c r="G18" s="19">
        <v>1</v>
      </c>
      <c r="H18" s="19">
        <v>1</v>
      </c>
      <c r="I18" s="19"/>
      <c r="J18" s="19">
        <v>2</v>
      </c>
      <c r="K18" s="15">
        <v>5.0199999999999996</v>
      </c>
      <c r="L18" s="15">
        <v>0.39760000000000001</v>
      </c>
      <c r="M18" s="15">
        <f t="shared" si="0"/>
        <v>5.0301810865191143</v>
      </c>
      <c r="N18" s="15">
        <v>0.39840637450199207</v>
      </c>
      <c r="P18" s="19"/>
      <c r="Q18" s="19">
        <v>1</v>
      </c>
      <c r="R18" s="19"/>
      <c r="S18" s="19"/>
      <c r="T18" s="19">
        <v>1</v>
      </c>
      <c r="U18" s="19"/>
      <c r="V18" s="19"/>
      <c r="W18" s="19">
        <v>2</v>
      </c>
      <c r="Y18" s="19">
        <v>1</v>
      </c>
      <c r="Z18" s="19">
        <v>1</v>
      </c>
      <c r="AA18" s="19"/>
      <c r="AB18" s="19">
        <v>2</v>
      </c>
    </row>
    <row r="19" spans="2:28" x14ac:dyDescent="0.25">
      <c r="B19" s="13" t="s">
        <v>149</v>
      </c>
      <c r="D19" s="13" t="s">
        <v>64</v>
      </c>
      <c r="E19" s="13" t="s">
        <v>68</v>
      </c>
      <c r="F19" s="19"/>
      <c r="G19" s="19"/>
      <c r="H19" s="19">
        <v>1</v>
      </c>
      <c r="I19" s="19"/>
      <c r="J19" s="19">
        <v>1</v>
      </c>
      <c r="K19" s="15">
        <v>6.12</v>
      </c>
      <c r="L19" s="15">
        <v>0.43769999999999998</v>
      </c>
      <c r="M19" s="15">
        <f t="shared" si="0"/>
        <v>2.2846698652044779</v>
      </c>
      <c r="N19" s="15">
        <v>0.16339869281045752</v>
      </c>
      <c r="P19" s="19"/>
      <c r="Q19" s="19"/>
      <c r="R19" s="19"/>
      <c r="S19" s="19">
        <v>1</v>
      </c>
      <c r="T19" s="19"/>
      <c r="U19" s="19"/>
      <c r="V19" s="19"/>
      <c r="W19" s="19">
        <v>1</v>
      </c>
      <c r="Y19" s="19"/>
      <c r="Z19" s="19">
        <v>1</v>
      </c>
      <c r="AA19" s="19"/>
      <c r="AB19" s="19">
        <v>1</v>
      </c>
    </row>
    <row r="20" spans="2:28" x14ac:dyDescent="0.25">
      <c r="B20" s="13" t="s">
        <v>149</v>
      </c>
      <c r="D20" s="13" t="s">
        <v>64</v>
      </c>
      <c r="E20" s="13" t="s">
        <v>69</v>
      </c>
      <c r="F20" s="19"/>
      <c r="G20" s="19"/>
      <c r="H20" s="19">
        <v>2</v>
      </c>
      <c r="I20" s="19"/>
      <c r="J20" s="19">
        <v>2</v>
      </c>
      <c r="K20" s="15">
        <v>5.62</v>
      </c>
      <c r="L20" s="15">
        <v>0.46660000000000001</v>
      </c>
      <c r="M20" s="15">
        <f t="shared" si="0"/>
        <v>4.2863266180882986</v>
      </c>
      <c r="N20" s="15">
        <v>0.35587188612099646</v>
      </c>
      <c r="P20" s="19"/>
      <c r="Q20" s="19"/>
      <c r="R20" s="19">
        <v>2</v>
      </c>
      <c r="S20" s="19"/>
      <c r="T20" s="19"/>
      <c r="U20" s="19"/>
      <c r="V20" s="19"/>
      <c r="W20" s="19">
        <v>2</v>
      </c>
      <c r="Y20" s="19"/>
      <c r="Z20" s="19">
        <v>1</v>
      </c>
      <c r="AA20" s="19">
        <v>1</v>
      </c>
      <c r="AB20" s="19">
        <v>2</v>
      </c>
    </row>
    <row r="21" spans="2:28" x14ac:dyDescent="0.25">
      <c r="B21" s="13" t="s">
        <v>149</v>
      </c>
      <c r="D21" s="13" t="s">
        <v>64</v>
      </c>
      <c r="E21" s="13" t="s">
        <v>70</v>
      </c>
      <c r="F21" s="19"/>
      <c r="G21" s="19"/>
      <c r="H21" s="19"/>
      <c r="I21" s="19">
        <v>3</v>
      </c>
      <c r="J21" s="19">
        <v>3</v>
      </c>
      <c r="K21" s="15">
        <v>4.7699999999999996</v>
      </c>
      <c r="L21" s="15">
        <v>0.3952</v>
      </c>
      <c r="M21" s="15">
        <f t="shared" si="0"/>
        <v>7.5910931174089074</v>
      </c>
      <c r="N21" s="15">
        <v>0.62893081761006298</v>
      </c>
      <c r="P21" s="19">
        <v>1</v>
      </c>
      <c r="Q21" s="19"/>
      <c r="R21" s="19"/>
      <c r="S21" s="19"/>
      <c r="T21" s="19"/>
      <c r="U21" s="19">
        <v>1</v>
      </c>
      <c r="V21" s="19">
        <v>1</v>
      </c>
      <c r="W21" s="19">
        <v>3</v>
      </c>
      <c r="Y21" s="19">
        <v>1</v>
      </c>
      <c r="Z21" s="19">
        <v>2</v>
      </c>
      <c r="AA21" s="19"/>
      <c r="AB21" s="19">
        <v>3</v>
      </c>
    </row>
    <row r="22" spans="2:28" x14ac:dyDescent="0.25">
      <c r="B22" s="13" t="s">
        <v>149</v>
      </c>
      <c r="D22" s="13" t="s">
        <v>64</v>
      </c>
      <c r="E22" s="13" t="s">
        <v>71</v>
      </c>
      <c r="F22" s="19"/>
      <c r="G22" s="19"/>
      <c r="H22" s="19"/>
      <c r="I22" s="19"/>
      <c r="J22" s="19">
        <v>0</v>
      </c>
      <c r="K22" s="15">
        <v>5.76</v>
      </c>
      <c r="L22" s="15">
        <v>0.3886</v>
      </c>
      <c r="M22" s="15">
        <f t="shared" si="0"/>
        <v>0</v>
      </c>
      <c r="N22" s="15">
        <v>0</v>
      </c>
      <c r="P22" s="19"/>
      <c r="Q22" s="19"/>
      <c r="R22" s="19"/>
      <c r="S22" s="19"/>
      <c r="T22" s="19"/>
      <c r="U22" s="19"/>
      <c r="V22" s="19"/>
      <c r="W22" s="19">
        <v>0</v>
      </c>
      <c r="Y22" s="19"/>
      <c r="Z22" s="19"/>
      <c r="AA22" s="19"/>
      <c r="AB22" s="19">
        <v>0</v>
      </c>
    </row>
    <row r="23" spans="2:28" x14ac:dyDescent="0.25">
      <c r="B23" s="13" t="s">
        <v>149</v>
      </c>
      <c r="D23" s="13" t="s">
        <v>64</v>
      </c>
      <c r="E23" s="13" t="s">
        <v>72</v>
      </c>
      <c r="F23" s="19"/>
      <c r="G23" s="19"/>
      <c r="H23" s="19">
        <v>2</v>
      </c>
      <c r="I23" s="19"/>
      <c r="J23" s="19">
        <v>2</v>
      </c>
      <c r="K23" s="15">
        <v>10.62</v>
      </c>
      <c r="L23" s="15">
        <v>0.65410000000000001</v>
      </c>
      <c r="M23" s="15">
        <f t="shared" si="0"/>
        <v>3.0576364470264483</v>
      </c>
      <c r="N23" s="15">
        <v>0.18832391713747648</v>
      </c>
      <c r="P23" s="19">
        <v>1</v>
      </c>
      <c r="Q23" s="19">
        <v>1</v>
      </c>
      <c r="R23" s="19"/>
      <c r="S23" s="19"/>
      <c r="T23" s="19"/>
      <c r="U23" s="19"/>
      <c r="V23" s="19"/>
      <c r="W23" s="19">
        <v>2</v>
      </c>
      <c r="Y23" s="19"/>
      <c r="Z23" s="19">
        <v>1</v>
      </c>
      <c r="AA23" s="19">
        <v>1</v>
      </c>
      <c r="AB23" s="19">
        <v>2</v>
      </c>
    </row>
    <row r="24" spans="2:28" x14ac:dyDescent="0.25">
      <c r="B24" s="13" t="s">
        <v>149</v>
      </c>
      <c r="D24" s="13" t="s">
        <v>64</v>
      </c>
      <c r="E24" s="13" t="s">
        <v>73</v>
      </c>
      <c r="F24" s="19"/>
      <c r="G24" s="19"/>
      <c r="H24" s="19"/>
      <c r="I24" s="19"/>
      <c r="J24" s="19">
        <v>0</v>
      </c>
      <c r="K24" s="15">
        <v>7.55</v>
      </c>
      <c r="L24" s="15">
        <v>0.53220000000000001</v>
      </c>
      <c r="M24" s="15">
        <f t="shared" si="0"/>
        <v>0</v>
      </c>
      <c r="N24" s="15">
        <v>0</v>
      </c>
      <c r="P24" s="19"/>
      <c r="Q24" s="19"/>
      <c r="R24" s="19"/>
      <c r="S24" s="19"/>
      <c r="T24" s="19"/>
      <c r="U24" s="19"/>
      <c r="V24" s="19"/>
      <c r="W24" s="19">
        <v>0</v>
      </c>
      <c r="Y24" s="19"/>
      <c r="Z24" s="19"/>
      <c r="AA24" s="19"/>
      <c r="AB24" s="19">
        <v>0</v>
      </c>
    </row>
    <row r="25" spans="2:28" x14ac:dyDescent="0.25">
      <c r="B25" s="13" t="s">
        <v>149</v>
      </c>
      <c r="D25" s="13" t="s">
        <v>64</v>
      </c>
      <c r="E25" s="13" t="s">
        <v>74</v>
      </c>
      <c r="F25" s="19"/>
      <c r="G25" s="19"/>
      <c r="H25" s="19">
        <v>1</v>
      </c>
      <c r="I25" s="19"/>
      <c r="J25" s="19">
        <v>1</v>
      </c>
      <c r="K25" s="15">
        <v>6</v>
      </c>
      <c r="L25" s="15">
        <v>0.49230000000000002</v>
      </c>
      <c r="M25" s="15">
        <f t="shared" si="0"/>
        <v>2.0312817387771682</v>
      </c>
      <c r="N25" s="15">
        <v>0.16666666666666666</v>
      </c>
      <c r="P25" s="19"/>
      <c r="Q25" s="19"/>
      <c r="R25" s="19"/>
      <c r="S25" s="19">
        <v>1</v>
      </c>
      <c r="T25" s="19"/>
      <c r="U25" s="19"/>
      <c r="V25" s="19"/>
      <c r="W25" s="19">
        <v>1</v>
      </c>
      <c r="Y25" s="19"/>
      <c r="Z25" s="19">
        <v>1</v>
      </c>
      <c r="AA25" s="19"/>
      <c r="AB25" s="19">
        <v>1</v>
      </c>
    </row>
    <row r="26" spans="2:28" x14ac:dyDescent="0.25">
      <c r="B26" s="14"/>
      <c r="C26" s="14"/>
      <c r="D26" s="14"/>
      <c r="E26" s="14"/>
      <c r="F26" s="21">
        <v>11</v>
      </c>
      <c r="G26" s="21">
        <v>2</v>
      </c>
      <c r="H26" s="21">
        <v>15</v>
      </c>
      <c r="I26" s="21">
        <v>5</v>
      </c>
      <c r="J26" s="21">
        <v>33</v>
      </c>
      <c r="K26" s="21"/>
      <c r="L26" s="21"/>
      <c r="M26" s="21"/>
      <c r="N26" s="18">
        <v>5.9623368998843826</v>
      </c>
      <c r="P26" s="21">
        <v>7</v>
      </c>
      <c r="Q26" s="21">
        <v>5</v>
      </c>
      <c r="R26" s="21">
        <v>2</v>
      </c>
      <c r="S26" s="21">
        <v>14</v>
      </c>
      <c r="T26" s="21">
        <v>3</v>
      </c>
      <c r="U26" s="21">
        <v>1</v>
      </c>
      <c r="V26" s="21">
        <v>1</v>
      </c>
      <c r="W26" s="21">
        <v>33</v>
      </c>
      <c r="Y26" s="21">
        <v>18</v>
      </c>
      <c r="Z26" s="21">
        <v>11</v>
      </c>
      <c r="AA26" s="21">
        <v>4</v>
      </c>
      <c r="AB26" s="21">
        <v>33</v>
      </c>
    </row>
    <row r="29" spans="2:28" x14ac:dyDescent="0.25">
      <c r="B29" s="20"/>
      <c r="C29" s="20" t="s">
        <v>1</v>
      </c>
      <c r="D29" s="20" t="s">
        <v>34</v>
      </c>
      <c r="E29" s="20" t="s">
        <v>35</v>
      </c>
      <c r="F29" s="20" t="s">
        <v>36</v>
      </c>
      <c r="G29" s="20" t="s">
        <v>37</v>
      </c>
      <c r="H29" s="20" t="s">
        <v>38</v>
      </c>
      <c r="I29" s="20" t="s">
        <v>39</v>
      </c>
      <c r="J29" s="20" t="s">
        <v>40</v>
      </c>
      <c r="K29" s="14" t="s">
        <v>370</v>
      </c>
      <c r="L29" s="14" t="s">
        <v>372</v>
      </c>
      <c r="M29" s="69" t="s">
        <v>373</v>
      </c>
      <c r="N29" s="16" t="s">
        <v>371</v>
      </c>
      <c r="P29" s="20" t="s">
        <v>42</v>
      </c>
      <c r="Q29" s="20" t="s">
        <v>43</v>
      </c>
      <c r="R29" s="20" t="s">
        <v>44</v>
      </c>
      <c r="S29" s="20" t="s">
        <v>45</v>
      </c>
      <c r="T29" s="20" t="s">
        <v>46</v>
      </c>
      <c r="U29" s="20" t="s">
        <v>47</v>
      </c>
      <c r="V29" s="20" t="s">
        <v>48</v>
      </c>
      <c r="W29" s="20"/>
      <c r="Y29" s="20" t="s">
        <v>31</v>
      </c>
      <c r="Z29" s="20" t="s">
        <v>32</v>
      </c>
      <c r="AA29" s="20" t="s">
        <v>33</v>
      </c>
      <c r="AB29" s="20" t="s">
        <v>40</v>
      </c>
    </row>
    <row r="30" spans="2:28" x14ac:dyDescent="0.25">
      <c r="B30" s="13" t="s">
        <v>150</v>
      </c>
      <c r="C30" s="13" t="s">
        <v>6</v>
      </c>
      <c r="D30" s="13" t="s">
        <v>53</v>
      </c>
      <c r="E30" s="13" t="s">
        <v>75</v>
      </c>
      <c r="F30" s="19">
        <v>2</v>
      </c>
      <c r="G30" s="19"/>
      <c r="H30" s="19"/>
      <c r="I30" s="19"/>
      <c r="J30" s="19">
        <v>2</v>
      </c>
      <c r="K30" s="15">
        <v>6.62</v>
      </c>
      <c r="L30" s="15">
        <v>0.23019999999999999</v>
      </c>
      <c r="M30" s="15">
        <f>J30/L30</f>
        <v>8.6880973066898353</v>
      </c>
      <c r="N30" s="15">
        <v>0.30211480362537763</v>
      </c>
      <c r="P30" s="19"/>
      <c r="Q30" s="19"/>
      <c r="R30" s="19"/>
      <c r="S30" s="19"/>
      <c r="T30" s="19">
        <v>2</v>
      </c>
      <c r="U30" s="19"/>
      <c r="V30" s="19"/>
      <c r="W30" s="19">
        <v>2</v>
      </c>
      <c r="Y30" s="19">
        <v>2</v>
      </c>
      <c r="Z30" s="19"/>
      <c r="AA30" s="19"/>
      <c r="AB30" s="19">
        <v>2</v>
      </c>
    </row>
    <row r="31" spans="2:28" x14ac:dyDescent="0.25">
      <c r="B31" s="13" t="s">
        <v>150</v>
      </c>
      <c r="D31" s="13" t="s">
        <v>53</v>
      </c>
      <c r="E31" s="13" t="s">
        <v>76</v>
      </c>
      <c r="F31" s="19"/>
      <c r="G31" s="19"/>
      <c r="H31" s="19"/>
      <c r="I31" s="19">
        <v>1</v>
      </c>
      <c r="J31" s="19">
        <v>1</v>
      </c>
      <c r="K31" s="15">
        <v>4.6900000000000004</v>
      </c>
      <c r="L31" s="15">
        <v>0.1205</v>
      </c>
      <c r="M31" s="15">
        <f t="shared" ref="M31:M63" si="1">J31/L31</f>
        <v>8.2987551867219924</v>
      </c>
      <c r="N31" s="15">
        <v>0.21321961620469082</v>
      </c>
      <c r="P31" s="19"/>
      <c r="Q31" s="19"/>
      <c r="R31" s="19"/>
      <c r="S31" s="19"/>
      <c r="T31" s="19"/>
      <c r="U31" s="19"/>
      <c r="V31" s="19">
        <v>1</v>
      </c>
      <c r="W31" s="19">
        <v>1</v>
      </c>
      <c r="Y31" s="19"/>
      <c r="Z31" s="19">
        <v>1</v>
      </c>
      <c r="AA31" s="19"/>
      <c r="AB31" s="19">
        <v>1</v>
      </c>
    </row>
    <row r="32" spans="2:28" x14ac:dyDescent="0.25">
      <c r="B32" s="13" t="s">
        <v>150</v>
      </c>
      <c r="D32" s="13" t="s">
        <v>53</v>
      </c>
      <c r="E32" s="13" t="s">
        <v>77</v>
      </c>
      <c r="F32" s="19">
        <v>1</v>
      </c>
      <c r="G32" s="19"/>
      <c r="H32" s="19"/>
      <c r="I32" s="19">
        <v>3</v>
      </c>
      <c r="J32" s="19">
        <v>4</v>
      </c>
      <c r="K32" s="15">
        <v>11.11</v>
      </c>
      <c r="L32" s="15">
        <v>0.37280000000000002</v>
      </c>
      <c r="M32" s="15">
        <f t="shared" si="1"/>
        <v>10.729613733905579</v>
      </c>
      <c r="N32" s="15">
        <v>0.36003600360036003</v>
      </c>
      <c r="P32" s="19"/>
      <c r="Q32" s="19"/>
      <c r="R32" s="19">
        <v>1</v>
      </c>
      <c r="S32" s="19">
        <v>3</v>
      </c>
      <c r="T32" s="19"/>
      <c r="U32" s="19"/>
      <c r="V32" s="19"/>
      <c r="W32" s="19">
        <v>4</v>
      </c>
      <c r="Y32" s="19">
        <v>2</v>
      </c>
      <c r="Z32" s="19">
        <v>1</v>
      </c>
      <c r="AA32" s="19">
        <v>1</v>
      </c>
      <c r="AB32" s="19">
        <v>4</v>
      </c>
    </row>
    <row r="33" spans="2:28" x14ac:dyDescent="0.25">
      <c r="B33" s="13" t="s">
        <v>150</v>
      </c>
      <c r="D33" s="13" t="s">
        <v>53</v>
      </c>
      <c r="E33" s="13" t="s">
        <v>78</v>
      </c>
      <c r="F33" s="19">
        <v>1</v>
      </c>
      <c r="G33" s="19"/>
      <c r="H33" s="19">
        <v>2</v>
      </c>
      <c r="I33" s="19"/>
      <c r="J33" s="19">
        <v>3</v>
      </c>
      <c r="K33" s="15">
        <v>5.95</v>
      </c>
      <c r="L33" s="15">
        <v>0.17510000000000001</v>
      </c>
      <c r="M33" s="15">
        <f t="shared" si="1"/>
        <v>17.133066818960593</v>
      </c>
      <c r="N33" s="15">
        <v>0.50420168067226889</v>
      </c>
      <c r="P33" s="19">
        <v>2</v>
      </c>
      <c r="Q33" s="19"/>
      <c r="R33" s="19"/>
      <c r="S33" s="19"/>
      <c r="T33" s="19">
        <v>1</v>
      </c>
      <c r="U33" s="19"/>
      <c r="V33" s="19"/>
      <c r="W33" s="19">
        <v>3</v>
      </c>
      <c r="Y33" s="19">
        <v>1</v>
      </c>
      <c r="Z33" s="19">
        <v>2</v>
      </c>
      <c r="AA33" s="19"/>
      <c r="AB33" s="19">
        <v>3</v>
      </c>
    </row>
    <row r="34" spans="2:28" x14ac:dyDescent="0.25">
      <c r="B34" s="13" t="s">
        <v>150</v>
      </c>
      <c r="D34" s="13" t="s">
        <v>53</v>
      </c>
      <c r="E34" s="13" t="s">
        <v>79</v>
      </c>
      <c r="F34" s="19">
        <v>2</v>
      </c>
      <c r="G34" s="19"/>
      <c r="H34" s="19">
        <v>2</v>
      </c>
      <c r="I34" s="19">
        <v>1</v>
      </c>
      <c r="J34" s="19">
        <v>5</v>
      </c>
      <c r="K34" s="15">
        <v>4.1900000000000004</v>
      </c>
      <c r="L34" s="15">
        <v>0.14099999999999999</v>
      </c>
      <c r="M34" s="15">
        <f t="shared" si="1"/>
        <v>35.460992907801419</v>
      </c>
      <c r="N34" s="15">
        <v>1.1933174224343674</v>
      </c>
      <c r="P34" s="19">
        <v>1</v>
      </c>
      <c r="Q34" s="19">
        <v>3</v>
      </c>
      <c r="R34" s="19"/>
      <c r="S34" s="19">
        <v>1</v>
      </c>
      <c r="T34" s="19"/>
      <c r="U34" s="19"/>
      <c r="V34" s="19"/>
      <c r="W34" s="19">
        <v>5</v>
      </c>
      <c r="Y34" s="19">
        <v>3</v>
      </c>
      <c r="Z34" s="19">
        <v>1</v>
      </c>
      <c r="AA34" s="19">
        <v>1</v>
      </c>
      <c r="AB34" s="19">
        <v>5</v>
      </c>
    </row>
    <row r="35" spans="2:28" x14ac:dyDescent="0.25">
      <c r="B35" s="13" t="s">
        <v>150</v>
      </c>
      <c r="D35" s="13" t="s">
        <v>53</v>
      </c>
      <c r="E35" s="13" t="s">
        <v>80</v>
      </c>
      <c r="F35" s="19"/>
      <c r="G35" s="19"/>
      <c r="H35" s="19">
        <v>3</v>
      </c>
      <c r="I35" s="19"/>
      <c r="J35" s="19">
        <v>3</v>
      </c>
      <c r="K35" s="15">
        <v>3.84</v>
      </c>
      <c r="L35" s="15">
        <v>0.1166</v>
      </c>
      <c r="M35" s="15">
        <f t="shared" si="1"/>
        <v>25.728987993138936</v>
      </c>
      <c r="N35" s="15">
        <v>0.78125</v>
      </c>
      <c r="P35" s="19"/>
      <c r="Q35" s="19">
        <v>3</v>
      </c>
      <c r="R35" s="19"/>
      <c r="S35" s="19"/>
      <c r="T35" s="19"/>
      <c r="U35" s="19"/>
      <c r="V35" s="19"/>
      <c r="W35" s="19">
        <v>3</v>
      </c>
      <c r="Y35" s="19">
        <v>1</v>
      </c>
      <c r="Z35" s="19">
        <v>1</v>
      </c>
      <c r="AA35" s="19">
        <v>1</v>
      </c>
      <c r="AB35" s="19">
        <v>3</v>
      </c>
    </row>
    <row r="36" spans="2:28" x14ac:dyDescent="0.25">
      <c r="B36" s="13" t="s">
        <v>150</v>
      </c>
      <c r="D36" s="13" t="s">
        <v>53</v>
      </c>
      <c r="E36" s="13" t="s">
        <v>81</v>
      </c>
      <c r="F36" s="19">
        <v>1</v>
      </c>
      <c r="G36" s="19"/>
      <c r="H36" s="19">
        <v>1</v>
      </c>
      <c r="I36" s="19"/>
      <c r="J36" s="19">
        <v>2</v>
      </c>
      <c r="K36" s="15">
        <v>4.24</v>
      </c>
      <c r="L36" s="15">
        <v>0.1328</v>
      </c>
      <c r="M36" s="15">
        <f t="shared" si="1"/>
        <v>15.060240963855421</v>
      </c>
      <c r="N36" s="15">
        <v>0.47169811320754712</v>
      </c>
      <c r="P36" s="19"/>
      <c r="Q36" s="19"/>
      <c r="R36" s="19"/>
      <c r="S36" s="19">
        <v>2</v>
      </c>
      <c r="T36" s="19"/>
      <c r="U36" s="19"/>
      <c r="V36" s="19"/>
      <c r="W36" s="19">
        <v>2</v>
      </c>
      <c r="Y36" s="19">
        <v>1</v>
      </c>
      <c r="Z36" s="19">
        <v>1</v>
      </c>
      <c r="AA36" s="19"/>
      <c r="AB36" s="19">
        <v>2</v>
      </c>
    </row>
    <row r="37" spans="2:28" x14ac:dyDescent="0.25">
      <c r="B37" s="13" t="s">
        <v>150</v>
      </c>
      <c r="D37" s="13" t="s">
        <v>53</v>
      </c>
      <c r="E37" s="13" t="s">
        <v>82</v>
      </c>
      <c r="F37" s="19">
        <v>1</v>
      </c>
      <c r="G37" s="19"/>
      <c r="H37" s="19">
        <v>1</v>
      </c>
      <c r="I37" s="19"/>
      <c r="J37" s="19">
        <v>2</v>
      </c>
      <c r="K37" s="15">
        <v>4.04</v>
      </c>
      <c r="L37" s="15">
        <v>0.1142</v>
      </c>
      <c r="M37" s="15">
        <f t="shared" si="1"/>
        <v>17.513134851138354</v>
      </c>
      <c r="N37" s="15">
        <v>0.49504950495049505</v>
      </c>
      <c r="P37" s="19"/>
      <c r="Q37" s="19"/>
      <c r="R37" s="19">
        <v>1</v>
      </c>
      <c r="S37" s="19"/>
      <c r="T37" s="19">
        <v>1</v>
      </c>
      <c r="U37" s="19"/>
      <c r="V37" s="19"/>
      <c r="W37" s="19">
        <v>2</v>
      </c>
      <c r="Y37" s="19"/>
      <c r="Z37" s="19">
        <v>2</v>
      </c>
      <c r="AA37" s="19"/>
      <c r="AB37" s="19">
        <v>2</v>
      </c>
    </row>
    <row r="38" spans="2:28" x14ac:dyDescent="0.25">
      <c r="B38" s="13" t="s">
        <v>150</v>
      </c>
      <c r="D38" s="13" t="s">
        <v>53</v>
      </c>
      <c r="E38" s="13" t="s">
        <v>83</v>
      </c>
      <c r="F38" s="19">
        <v>1</v>
      </c>
      <c r="G38" s="19"/>
      <c r="H38" s="19">
        <v>2</v>
      </c>
      <c r="I38" s="19"/>
      <c r="J38" s="19">
        <v>3</v>
      </c>
      <c r="K38" s="15">
        <v>4.21</v>
      </c>
      <c r="L38" s="15">
        <v>0.17130000000000001</v>
      </c>
      <c r="M38" s="15">
        <f t="shared" si="1"/>
        <v>17.513134851138354</v>
      </c>
      <c r="N38" s="15">
        <v>0.71258907363420432</v>
      </c>
      <c r="P38" s="19"/>
      <c r="Q38" s="19"/>
      <c r="R38" s="19">
        <v>1</v>
      </c>
      <c r="S38" s="19"/>
      <c r="T38" s="19">
        <v>2</v>
      </c>
      <c r="U38" s="19"/>
      <c r="V38" s="19"/>
      <c r="W38" s="19">
        <v>3</v>
      </c>
      <c r="Y38" s="19">
        <v>2</v>
      </c>
      <c r="Z38" s="19">
        <v>1</v>
      </c>
      <c r="AA38" s="19"/>
      <c r="AB38" s="19">
        <v>3</v>
      </c>
    </row>
    <row r="39" spans="2:28" x14ac:dyDescent="0.25">
      <c r="B39" s="13" t="s">
        <v>150</v>
      </c>
      <c r="D39" s="13" t="s">
        <v>53</v>
      </c>
      <c r="E39" s="13" t="s">
        <v>84</v>
      </c>
      <c r="F39" s="19">
        <v>1</v>
      </c>
      <c r="G39" s="19"/>
      <c r="H39" s="19"/>
      <c r="I39" s="19">
        <v>2</v>
      </c>
      <c r="J39" s="19">
        <v>3</v>
      </c>
      <c r="K39" s="15">
        <v>9.26</v>
      </c>
      <c r="L39" s="15">
        <v>0.29120000000000001</v>
      </c>
      <c r="M39" s="15">
        <f t="shared" si="1"/>
        <v>10.302197802197801</v>
      </c>
      <c r="N39" s="15">
        <v>0.32397408207343414</v>
      </c>
      <c r="P39" s="19">
        <v>1</v>
      </c>
      <c r="Q39" s="19"/>
      <c r="R39" s="19">
        <v>1</v>
      </c>
      <c r="S39" s="19">
        <v>1</v>
      </c>
      <c r="T39" s="19"/>
      <c r="U39" s="19"/>
      <c r="V39" s="19"/>
      <c r="W39" s="19">
        <v>3</v>
      </c>
      <c r="Y39" s="19">
        <v>1</v>
      </c>
      <c r="Z39" s="19">
        <v>2</v>
      </c>
      <c r="AA39" s="19"/>
      <c r="AB39" s="19">
        <v>3</v>
      </c>
    </row>
    <row r="40" spans="2:28" x14ac:dyDescent="0.25">
      <c r="B40" s="13" t="s">
        <v>150</v>
      </c>
      <c r="D40" s="13" t="s">
        <v>53</v>
      </c>
      <c r="E40" s="13" t="s">
        <v>85</v>
      </c>
      <c r="F40" s="19"/>
      <c r="G40" s="19"/>
      <c r="H40" s="19"/>
      <c r="I40" s="19"/>
      <c r="J40" s="19">
        <v>0</v>
      </c>
      <c r="K40" s="15">
        <v>5.51</v>
      </c>
      <c r="L40" s="15">
        <v>0.14369999999999999</v>
      </c>
      <c r="M40" s="15">
        <f t="shared" si="1"/>
        <v>0</v>
      </c>
      <c r="N40" s="15">
        <v>0</v>
      </c>
      <c r="P40" s="19"/>
      <c r="Q40" s="19"/>
      <c r="R40" s="19"/>
      <c r="S40" s="19"/>
      <c r="T40" s="19"/>
      <c r="U40" s="19"/>
      <c r="V40" s="19"/>
      <c r="W40" s="19">
        <v>0</v>
      </c>
      <c r="Y40" s="19"/>
      <c r="Z40" s="19"/>
      <c r="AA40" s="19"/>
      <c r="AB40" s="19">
        <v>0</v>
      </c>
    </row>
    <row r="41" spans="2:28" x14ac:dyDescent="0.25">
      <c r="B41" s="13" t="s">
        <v>150</v>
      </c>
      <c r="D41" s="13" t="s">
        <v>53</v>
      </c>
      <c r="E41" s="13" t="s">
        <v>86</v>
      </c>
      <c r="F41" s="19">
        <v>1</v>
      </c>
      <c r="G41" s="19"/>
      <c r="H41" s="19"/>
      <c r="I41" s="19"/>
      <c r="J41" s="19">
        <v>1</v>
      </c>
      <c r="K41" s="15">
        <v>7.24</v>
      </c>
      <c r="L41" s="15">
        <v>0.2402</v>
      </c>
      <c r="M41" s="15">
        <f t="shared" si="1"/>
        <v>4.1631973355537051</v>
      </c>
      <c r="N41" s="15">
        <v>0.13812154696132597</v>
      </c>
      <c r="P41" s="19"/>
      <c r="Q41" s="19"/>
      <c r="R41" s="19"/>
      <c r="S41" s="19"/>
      <c r="T41" s="19">
        <v>1</v>
      </c>
      <c r="U41" s="19"/>
      <c r="V41" s="19"/>
      <c r="W41" s="19">
        <v>1</v>
      </c>
      <c r="Y41" s="19">
        <v>1</v>
      </c>
      <c r="Z41" s="19"/>
      <c r="AA41" s="19"/>
      <c r="AB41" s="19">
        <v>1</v>
      </c>
    </row>
    <row r="42" spans="2:28" x14ac:dyDescent="0.25">
      <c r="B42" s="13" t="s">
        <v>150</v>
      </c>
      <c r="D42" s="13" t="s">
        <v>53</v>
      </c>
      <c r="E42" s="13" t="s">
        <v>87</v>
      </c>
      <c r="F42" s="19">
        <v>1</v>
      </c>
      <c r="G42" s="19"/>
      <c r="H42" s="19"/>
      <c r="I42" s="19"/>
      <c r="J42" s="19">
        <v>1</v>
      </c>
      <c r="K42" s="15">
        <v>5.0199999999999996</v>
      </c>
      <c r="L42" s="15">
        <v>0.106</v>
      </c>
      <c r="M42" s="15">
        <f t="shared" si="1"/>
        <v>9.433962264150944</v>
      </c>
      <c r="N42" s="15">
        <v>0.19920318725099603</v>
      </c>
      <c r="P42" s="19"/>
      <c r="Q42" s="19"/>
      <c r="R42" s="19">
        <v>1</v>
      </c>
      <c r="S42" s="19"/>
      <c r="T42" s="19"/>
      <c r="U42" s="19"/>
      <c r="V42" s="19"/>
      <c r="W42" s="19">
        <v>1</v>
      </c>
      <c r="Y42" s="19">
        <v>1</v>
      </c>
      <c r="Z42" s="19"/>
      <c r="AA42" s="19"/>
      <c r="AB42" s="19">
        <v>1</v>
      </c>
    </row>
    <row r="43" spans="2:28" x14ac:dyDescent="0.25">
      <c r="B43" s="13" t="s">
        <v>150</v>
      </c>
      <c r="D43" s="13" t="s">
        <v>53</v>
      </c>
      <c r="E43" s="13" t="s">
        <v>88</v>
      </c>
      <c r="F43" s="19"/>
      <c r="G43" s="19"/>
      <c r="H43" s="19"/>
      <c r="I43" s="19"/>
      <c r="J43" s="19">
        <v>0</v>
      </c>
      <c r="K43" s="15">
        <v>8.35</v>
      </c>
      <c r="L43" s="15">
        <v>0.2356</v>
      </c>
      <c r="M43" s="15">
        <f t="shared" si="1"/>
        <v>0</v>
      </c>
      <c r="N43" s="15">
        <v>0</v>
      </c>
      <c r="P43" s="19"/>
      <c r="Q43" s="19"/>
      <c r="R43" s="19"/>
      <c r="S43" s="19"/>
      <c r="T43" s="19"/>
      <c r="U43" s="19"/>
      <c r="V43" s="19"/>
      <c r="W43" s="19">
        <v>0</v>
      </c>
      <c r="Y43" s="19"/>
      <c r="Z43" s="19"/>
      <c r="AA43" s="19"/>
      <c r="AB43" s="19">
        <v>0</v>
      </c>
    </row>
    <row r="44" spans="2:28" x14ac:dyDescent="0.25">
      <c r="B44" s="13" t="s">
        <v>150</v>
      </c>
      <c r="D44" s="13" t="s">
        <v>53</v>
      </c>
      <c r="E44" s="13" t="s">
        <v>89</v>
      </c>
      <c r="F44" s="19"/>
      <c r="G44" s="19"/>
      <c r="H44" s="19"/>
      <c r="I44" s="19"/>
      <c r="J44" s="19">
        <v>0</v>
      </c>
      <c r="K44" s="15">
        <v>5.64</v>
      </c>
      <c r="L44" s="15">
        <v>0.13</v>
      </c>
      <c r="M44" s="15">
        <f t="shared" si="1"/>
        <v>0</v>
      </c>
      <c r="N44" s="15">
        <v>0</v>
      </c>
      <c r="P44" s="19"/>
      <c r="Q44" s="19"/>
      <c r="R44" s="19"/>
      <c r="S44" s="19"/>
      <c r="T44" s="19"/>
      <c r="U44" s="19"/>
      <c r="V44" s="19"/>
      <c r="W44" s="19">
        <v>0</v>
      </c>
      <c r="Y44" s="19"/>
      <c r="Z44" s="19"/>
      <c r="AA44" s="19"/>
      <c r="AB44" s="19">
        <v>0</v>
      </c>
    </row>
    <row r="45" spans="2:28" x14ac:dyDescent="0.25">
      <c r="B45" s="13" t="s">
        <v>150</v>
      </c>
      <c r="D45" s="13" t="s">
        <v>53</v>
      </c>
      <c r="E45" s="13" t="s">
        <v>90</v>
      </c>
      <c r="F45" s="19">
        <v>2</v>
      </c>
      <c r="G45" s="19"/>
      <c r="H45" s="19"/>
      <c r="I45" s="19"/>
      <c r="J45" s="19">
        <v>2</v>
      </c>
      <c r="K45" s="15">
        <v>8.0299999999999994</v>
      </c>
      <c r="L45" s="15">
        <v>0.23469999999999999</v>
      </c>
      <c r="M45" s="15">
        <f t="shared" si="1"/>
        <v>8.5215168299957398</v>
      </c>
      <c r="N45" s="15">
        <v>0.24906600249066005</v>
      </c>
      <c r="P45" s="19"/>
      <c r="Q45" s="19"/>
      <c r="R45" s="19">
        <v>2</v>
      </c>
      <c r="S45" s="19"/>
      <c r="T45" s="19"/>
      <c r="U45" s="19"/>
      <c r="V45" s="19"/>
      <c r="W45" s="19">
        <v>2</v>
      </c>
      <c r="Y45" s="19">
        <v>2</v>
      </c>
      <c r="Z45" s="19"/>
      <c r="AA45" s="19"/>
      <c r="AB45" s="19">
        <v>2</v>
      </c>
    </row>
    <row r="46" spans="2:28" x14ac:dyDescent="0.25">
      <c r="B46" s="13" t="s">
        <v>150</v>
      </c>
      <c r="D46" s="13" t="s">
        <v>53</v>
      </c>
      <c r="E46" s="13" t="s">
        <v>91</v>
      </c>
      <c r="F46" s="19">
        <v>1</v>
      </c>
      <c r="G46" s="19"/>
      <c r="H46" s="19"/>
      <c r="I46" s="19"/>
      <c r="J46" s="19">
        <v>1</v>
      </c>
      <c r="K46" s="15">
        <v>8.4</v>
      </c>
      <c r="L46" s="15">
        <v>0.2964</v>
      </c>
      <c r="M46" s="15">
        <f t="shared" si="1"/>
        <v>3.3738191632928474</v>
      </c>
      <c r="N46" s="15">
        <v>0.11904761904761904</v>
      </c>
      <c r="P46" s="19">
        <v>1</v>
      </c>
      <c r="Q46" s="19"/>
      <c r="R46" s="19"/>
      <c r="S46" s="19"/>
      <c r="T46" s="19"/>
      <c r="U46" s="19"/>
      <c r="V46" s="19"/>
      <c r="W46" s="19">
        <v>1</v>
      </c>
      <c r="Y46" s="19">
        <v>1</v>
      </c>
      <c r="Z46" s="19"/>
      <c r="AA46" s="19"/>
      <c r="AB46" s="19">
        <v>1</v>
      </c>
    </row>
    <row r="47" spans="2:28" x14ac:dyDescent="0.25">
      <c r="B47" s="13" t="s">
        <v>150</v>
      </c>
      <c r="D47" s="13" t="s">
        <v>64</v>
      </c>
      <c r="E47" s="13" t="s">
        <v>92</v>
      </c>
      <c r="F47" s="19"/>
      <c r="G47" s="19"/>
      <c r="H47" s="19">
        <v>3</v>
      </c>
      <c r="I47" s="19"/>
      <c r="J47" s="19">
        <v>3</v>
      </c>
      <c r="K47" s="15">
        <v>6.62</v>
      </c>
      <c r="L47" s="15">
        <v>0.43049999999999999</v>
      </c>
      <c r="M47" s="15">
        <f t="shared" si="1"/>
        <v>6.9686411149825789</v>
      </c>
      <c r="N47" s="15">
        <v>0.45317220543806647</v>
      </c>
      <c r="P47" s="19"/>
      <c r="Q47" s="19">
        <v>2</v>
      </c>
      <c r="R47" s="19">
        <v>1</v>
      </c>
      <c r="S47" s="19"/>
      <c r="T47" s="19"/>
      <c r="U47" s="19"/>
      <c r="V47" s="19"/>
      <c r="W47" s="19">
        <v>3</v>
      </c>
      <c r="Y47" s="19">
        <v>1</v>
      </c>
      <c r="Z47" s="19"/>
      <c r="AA47" s="19">
        <v>2</v>
      </c>
      <c r="AB47" s="19">
        <v>3</v>
      </c>
    </row>
    <row r="48" spans="2:28" x14ac:dyDescent="0.25">
      <c r="B48" s="13" t="s">
        <v>150</v>
      </c>
      <c r="D48" s="13" t="s">
        <v>64</v>
      </c>
      <c r="E48" s="13" t="s">
        <v>93</v>
      </c>
      <c r="F48" s="19"/>
      <c r="G48" s="19">
        <v>6</v>
      </c>
      <c r="H48" s="19">
        <v>1</v>
      </c>
      <c r="I48" s="19"/>
      <c r="J48" s="19">
        <v>7</v>
      </c>
      <c r="K48" s="15">
        <v>4.6900000000000004</v>
      </c>
      <c r="L48" s="15">
        <v>0.32519999999999999</v>
      </c>
      <c r="M48" s="15">
        <f t="shared" si="1"/>
        <v>21.525215252152524</v>
      </c>
      <c r="N48" s="15">
        <v>1.4925373134328357</v>
      </c>
      <c r="P48" s="19"/>
      <c r="Q48" s="19"/>
      <c r="R48" s="19"/>
      <c r="S48" s="19"/>
      <c r="T48" s="19">
        <v>7</v>
      </c>
      <c r="U48" s="19"/>
      <c r="V48" s="19"/>
      <c r="W48" s="19">
        <v>7</v>
      </c>
      <c r="Y48" s="19">
        <v>4</v>
      </c>
      <c r="Z48" s="19">
        <v>2</v>
      </c>
      <c r="AA48" s="19">
        <v>1</v>
      </c>
      <c r="AB48" s="19">
        <v>7</v>
      </c>
    </row>
    <row r="49" spans="2:28" x14ac:dyDescent="0.25">
      <c r="B49" s="13" t="s">
        <v>150</v>
      </c>
      <c r="D49" s="13" t="s">
        <v>64</v>
      </c>
      <c r="E49" s="13" t="s">
        <v>94</v>
      </c>
      <c r="F49" s="19">
        <v>1</v>
      </c>
      <c r="G49" s="19">
        <v>4</v>
      </c>
      <c r="H49" s="19"/>
      <c r="I49" s="19">
        <v>1</v>
      </c>
      <c r="J49" s="19">
        <v>6</v>
      </c>
      <c r="K49" s="15">
        <v>11.11</v>
      </c>
      <c r="L49" s="15">
        <v>0.57520000000000004</v>
      </c>
      <c r="M49" s="15">
        <f t="shared" si="1"/>
        <v>10.431154381084839</v>
      </c>
      <c r="N49" s="15">
        <v>0.54005400540054005</v>
      </c>
      <c r="P49" s="19"/>
      <c r="Q49" s="19">
        <v>2</v>
      </c>
      <c r="R49" s="19"/>
      <c r="S49" s="19"/>
      <c r="T49" s="19">
        <v>1</v>
      </c>
      <c r="U49" s="19">
        <v>3</v>
      </c>
      <c r="V49" s="19"/>
      <c r="W49" s="19">
        <v>6</v>
      </c>
      <c r="Y49" s="19">
        <v>2</v>
      </c>
      <c r="Z49" s="19">
        <v>3</v>
      </c>
      <c r="AA49" s="19">
        <v>1</v>
      </c>
      <c r="AB49" s="19">
        <v>6</v>
      </c>
    </row>
    <row r="50" spans="2:28" x14ac:dyDescent="0.25">
      <c r="B50" s="13" t="s">
        <v>150</v>
      </c>
      <c r="D50" s="13" t="s">
        <v>64</v>
      </c>
      <c r="E50" s="13" t="s">
        <v>95</v>
      </c>
      <c r="F50" s="19">
        <v>3</v>
      </c>
      <c r="G50" s="19"/>
      <c r="H50" s="19">
        <v>1</v>
      </c>
      <c r="I50" s="19"/>
      <c r="J50" s="19">
        <v>4</v>
      </c>
      <c r="K50" s="15">
        <v>5.95</v>
      </c>
      <c r="L50" s="15">
        <v>0.3851</v>
      </c>
      <c r="M50" s="15">
        <f t="shared" si="1"/>
        <v>10.38691249026227</v>
      </c>
      <c r="N50" s="15">
        <v>0.67226890756302515</v>
      </c>
      <c r="P50" s="19"/>
      <c r="Q50" s="19">
        <v>2</v>
      </c>
      <c r="R50" s="19">
        <v>1</v>
      </c>
      <c r="S50" s="19">
        <v>1</v>
      </c>
      <c r="T50" s="19"/>
      <c r="U50" s="19"/>
      <c r="V50" s="19"/>
      <c r="W50" s="19">
        <v>4</v>
      </c>
      <c r="Y50" s="19">
        <v>3</v>
      </c>
      <c r="Z50" s="19">
        <v>1</v>
      </c>
      <c r="AA50" s="19"/>
      <c r="AB50" s="19">
        <v>4</v>
      </c>
    </row>
    <row r="51" spans="2:28" x14ac:dyDescent="0.25">
      <c r="B51" s="13" t="s">
        <v>150</v>
      </c>
      <c r="D51" s="13" t="s">
        <v>64</v>
      </c>
      <c r="E51" s="13" t="s">
        <v>96</v>
      </c>
      <c r="F51" s="19">
        <v>3</v>
      </c>
      <c r="G51" s="19"/>
      <c r="H51" s="19">
        <v>1</v>
      </c>
      <c r="I51" s="19">
        <v>1</v>
      </c>
      <c r="J51" s="19">
        <v>5</v>
      </c>
      <c r="K51" s="15">
        <v>4.1900000000000004</v>
      </c>
      <c r="L51" s="15">
        <v>0.44800000000000001</v>
      </c>
      <c r="M51" s="15">
        <f t="shared" si="1"/>
        <v>11.160714285714285</v>
      </c>
      <c r="N51" s="15">
        <v>1.1933174224343674</v>
      </c>
      <c r="P51" s="19">
        <v>2</v>
      </c>
      <c r="Q51" s="19"/>
      <c r="R51" s="19">
        <v>1</v>
      </c>
      <c r="S51" s="19"/>
      <c r="T51" s="19">
        <v>1</v>
      </c>
      <c r="U51" s="19"/>
      <c r="V51" s="19">
        <v>1</v>
      </c>
      <c r="W51" s="19">
        <v>5</v>
      </c>
      <c r="Y51" s="19">
        <v>3</v>
      </c>
      <c r="Z51" s="19">
        <v>1</v>
      </c>
      <c r="AA51" s="19">
        <v>1</v>
      </c>
      <c r="AB51" s="19">
        <v>5</v>
      </c>
    </row>
    <row r="52" spans="2:28" x14ac:dyDescent="0.25">
      <c r="B52" s="13" t="s">
        <v>150</v>
      </c>
      <c r="D52" s="13" t="s">
        <v>64</v>
      </c>
      <c r="E52" s="13" t="s">
        <v>97</v>
      </c>
      <c r="F52" s="19"/>
      <c r="G52" s="19">
        <v>2</v>
      </c>
      <c r="H52" s="19"/>
      <c r="I52" s="19"/>
      <c r="J52" s="19">
        <v>2</v>
      </c>
      <c r="K52" s="15">
        <v>3.84</v>
      </c>
      <c r="L52" s="15">
        <v>0.45660000000000001</v>
      </c>
      <c r="M52" s="15">
        <f t="shared" si="1"/>
        <v>4.3802014892685062</v>
      </c>
      <c r="N52" s="15">
        <v>0.52083333333333337</v>
      </c>
      <c r="P52" s="19"/>
      <c r="Q52" s="19"/>
      <c r="R52" s="19"/>
      <c r="S52" s="19"/>
      <c r="T52" s="19">
        <v>2</v>
      </c>
      <c r="U52" s="19"/>
      <c r="V52" s="19"/>
      <c r="W52" s="19">
        <v>2</v>
      </c>
      <c r="Y52" s="19">
        <v>1</v>
      </c>
      <c r="Z52" s="19">
        <v>1</v>
      </c>
      <c r="AA52" s="19"/>
      <c r="AB52" s="19">
        <v>2</v>
      </c>
    </row>
    <row r="53" spans="2:28" x14ac:dyDescent="0.25">
      <c r="B53" s="13" t="s">
        <v>150</v>
      </c>
      <c r="D53" s="13" t="s">
        <v>64</v>
      </c>
      <c r="E53" s="13" t="s">
        <v>98</v>
      </c>
      <c r="F53" s="19"/>
      <c r="G53" s="19"/>
      <c r="H53" s="19"/>
      <c r="I53" s="19"/>
      <c r="J53" s="19">
        <v>0</v>
      </c>
      <c r="K53" s="15">
        <v>4.24</v>
      </c>
      <c r="L53" s="15">
        <v>0.45279999999999998</v>
      </c>
      <c r="M53" s="15">
        <f t="shared" si="1"/>
        <v>0</v>
      </c>
      <c r="N53" s="15">
        <v>0</v>
      </c>
      <c r="P53" s="19"/>
      <c r="Q53" s="19"/>
      <c r="R53" s="19"/>
      <c r="S53" s="19"/>
      <c r="T53" s="19"/>
      <c r="U53" s="19"/>
      <c r="V53" s="19"/>
      <c r="W53" s="19">
        <v>0</v>
      </c>
      <c r="Y53" s="19"/>
      <c r="Z53" s="19"/>
      <c r="AA53" s="19"/>
      <c r="AB53" s="19">
        <v>0</v>
      </c>
    </row>
    <row r="54" spans="2:28" x14ac:dyDescent="0.25">
      <c r="B54" s="13" t="s">
        <v>150</v>
      </c>
      <c r="D54" s="13" t="s">
        <v>64</v>
      </c>
      <c r="E54" s="13" t="s">
        <v>99</v>
      </c>
      <c r="F54" s="19"/>
      <c r="G54" s="19"/>
      <c r="H54" s="19"/>
      <c r="I54" s="19"/>
      <c r="J54" s="19">
        <v>0</v>
      </c>
      <c r="K54" s="15">
        <v>4.04</v>
      </c>
      <c r="L54" s="15">
        <v>0.49419999999999997</v>
      </c>
      <c r="M54" s="15">
        <f t="shared" si="1"/>
        <v>0</v>
      </c>
      <c r="N54" s="15">
        <v>0</v>
      </c>
      <c r="P54" s="19"/>
      <c r="Q54" s="19"/>
      <c r="R54" s="19"/>
      <c r="S54" s="19"/>
      <c r="T54" s="19"/>
      <c r="U54" s="19"/>
      <c r="V54" s="19"/>
      <c r="W54" s="19">
        <v>0</v>
      </c>
      <c r="Y54" s="19"/>
      <c r="Z54" s="19"/>
      <c r="AA54" s="19"/>
      <c r="AB54" s="19">
        <v>0</v>
      </c>
    </row>
    <row r="55" spans="2:28" x14ac:dyDescent="0.25">
      <c r="B55" s="13" t="s">
        <v>150</v>
      </c>
      <c r="D55" s="13" t="s">
        <v>64</v>
      </c>
      <c r="E55" s="13" t="s">
        <v>100</v>
      </c>
      <c r="F55" s="19"/>
      <c r="G55" s="19"/>
      <c r="H55" s="19">
        <v>1</v>
      </c>
      <c r="I55" s="19"/>
      <c r="J55" s="19">
        <v>1</v>
      </c>
      <c r="K55" s="15">
        <v>4.21</v>
      </c>
      <c r="L55" s="15">
        <v>0.52129999999999999</v>
      </c>
      <c r="M55" s="15">
        <f t="shared" si="1"/>
        <v>1.918281220026856</v>
      </c>
      <c r="N55" s="15">
        <v>0.23752969121140144</v>
      </c>
      <c r="P55" s="19"/>
      <c r="Q55" s="19"/>
      <c r="R55" s="19"/>
      <c r="S55" s="19"/>
      <c r="T55" s="19"/>
      <c r="U55" s="19">
        <v>1</v>
      </c>
      <c r="V55" s="19"/>
      <c r="W55" s="19">
        <v>1</v>
      </c>
      <c r="Y55" s="19"/>
      <c r="Z55" s="19">
        <v>1</v>
      </c>
      <c r="AA55" s="19"/>
      <c r="AB55" s="19">
        <v>1</v>
      </c>
    </row>
    <row r="56" spans="2:28" x14ac:dyDescent="0.25">
      <c r="B56" s="13" t="s">
        <v>150</v>
      </c>
      <c r="D56" s="13" t="s">
        <v>64</v>
      </c>
      <c r="E56" s="13" t="s">
        <v>101</v>
      </c>
      <c r="F56" s="19"/>
      <c r="G56" s="19"/>
      <c r="H56" s="19"/>
      <c r="I56" s="19">
        <v>2</v>
      </c>
      <c r="J56" s="19">
        <v>2</v>
      </c>
      <c r="K56" s="15">
        <v>9.26</v>
      </c>
      <c r="L56" s="15">
        <v>0.62849999999999995</v>
      </c>
      <c r="M56" s="15">
        <f t="shared" si="1"/>
        <v>3.1821797931583138</v>
      </c>
      <c r="N56" s="15">
        <v>0.21598272138228941</v>
      </c>
      <c r="P56" s="19"/>
      <c r="Q56" s="19"/>
      <c r="R56" s="19"/>
      <c r="S56" s="19">
        <v>1</v>
      </c>
      <c r="T56" s="19"/>
      <c r="U56" s="19">
        <v>1</v>
      </c>
      <c r="V56" s="19"/>
      <c r="W56" s="19">
        <v>2</v>
      </c>
      <c r="Y56" s="19">
        <v>1</v>
      </c>
      <c r="Z56" s="19">
        <v>1</v>
      </c>
      <c r="AA56" s="19"/>
      <c r="AB56" s="19">
        <v>2</v>
      </c>
    </row>
    <row r="57" spans="2:28" x14ac:dyDescent="0.25">
      <c r="B57" s="13" t="s">
        <v>150</v>
      </c>
      <c r="D57" s="13" t="s">
        <v>64</v>
      </c>
      <c r="E57" s="13" t="s">
        <v>102</v>
      </c>
      <c r="F57" s="19">
        <v>1</v>
      </c>
      <c r="G57" s="19"/>
      <c r="H57" s="19"/>
      <c r="I57" s="19"/>
      <c r="J57" s="19">
        <v>1</v>
      </c>
      <c r="K57" s="15">
        <v>5.51</v>
      </c>
      <c r="L57" s="15">
        <v>0.48320000000000002</v>
      </c>
      <c r="M57" s="15">
        <f t="shared" si="1"/>
        <v>2.0695364238410594</v>
      </c>
      <c r="N57" s="15">
        <v>0.18148820326678766</v>
      </c>
      <c r="P57" s="19"/>
      <c r="Q57" s="19">
        <v>1</v>
      </c>
      <c r="R57" s="19"/>
      <c r="S57" s="19"/>
      <c r="T57" s="19"/>
      <c r="U57" s="19"/>
      <c r="V57" s="19"/>
      <c r="W57" s="19">
        <v>1</v>
      </c>
      <c r="Y57" s="19">
        <v>1</v>
      </c>
      <c r="Z57" s="19"/>
      <c r="AA57" s="19"/>
      <c r="AB57" s="19">
        <v>1</v>
      </c>
    </row>
    <row r="58" spans="2:28" x14ac:dyDescent="0.25">
      <c r="B58" s="13" t="s">
        <v>150</v>
      </c>
      <c r="D58" s="13" t="s">
        <v>64</v>
      </c>
      <c r="E58" s="13" t="s">
        <v>103</v>
      </c>
      <c r="F58" s="19"/>
      <c r="G58" s="19">
        <v>1</v>
      </c>
      <c r="H58" s="19">
        <v>2</v>
      </c>
      <c r="I58" s="19"/>
      <c r="J58" s="19">
        <v>3</v>
      </c>
      <c r="K58" s="15">
        <v>7.24</v>
      </c>
      <c r="L58" s="15">
        <v>0.58520000000000005</v>
      </c>
      <c r="M58" s="15">
        <f t="shared" si="1"/>
        <v>5.126452494873547</v>
      </c>
      <c r="N58" s="15">
        <v>0.4143646408839779</v>
      </c>
      <c r="P58" s="19"/>
      <c r="Q58" s="19">
        <v>1</v>
      </c>
      <c r="R58" s="19"/>
      <c r="S58" s="19">
        <v>1</v>
      </c>
      <c r="T58" s="19">
        <v>1</v>
      </c>
      <c r="U58" s="19"/>
      <c r="V58" s="19"/>
      <c r="W58" s="19">
        <v>3</v>
      </c>
      <c r="Y58" s="19">
        <v>1</v>
      </c>
      <c r="Z58" s="19">
        <v>1</v>
      </c>
      <c r="AA58" s="19">
        <v>1</v>
      </c>
      <c r="AB58" s="19">
        <v>3</v>
      </c>
    </row>
    <row r="59" spans="2:28" x14ac:dyDescent="0.25">
      <c r="B59" s="13" t="s">
        <v>150</v>
      </c>
      <c r="D59" s="13" t="s">
        <v>64</v>
      </c>
      <c r="E59" s="13" t="s">
        <v>104</v>
      </c>
      <c r="F59" s="19">
        <v>1</v>
      </c>
      <c r="G59" s="19"/>
      <c r="H59" s="19"/>
      <c r="I59" s="19"/>
      <c r="J59" s="19">
        <v>1</v>
      </c>
      <c r="K59" s="15">
        <v>5.0199999999999996</v>
      </c>
      <c r="L59" s="15">
        <v>0.46800000000000003</v>
      </c>
      <c r="M59" s="15">
        <f t="shared" si="1"/>
        <v>2.1367521367521367</v>
      </c>
      <c r="N59" s="15">
        <v>0.19920318725099603</v>
      </c>
      <c r="P59" s="19">
        <v>1</v>
      </c>
      <c r="Q59" s="19"/>
      <c r="R59" s="19"/>
      <c r="S59" s="19"/>
      <c r="T59" s="19"/>
      <c r="U59" s="19"/>
      <c r="V59" s="19"/>
      <c r="W59" s="19">
        <v>1</v>
      </c>
      <c r="Y59" s="19">
        <v>1</v>
      </c>
      <c r="Z59" s="19"/>
      <c r="AA59" s="19"/>
      <c r="AB59" s="19">
        <v>1</v>
      </c>
    </row>
    <row r="60" spans="2:28" x14ac:dyDescent="0.25">
      <c r="B60" s="13" t="s">
        <v>150</v>
      </c>
      <c r="D60" s="13" t="s">
        <v>64</v>
      </c>
      <c r="E60" s="13" t="s">
        <v>105</v>
      </c>
      <c r="F60" s="19"/>
      <c r="G60" s="19"/>
      <c r="H60" s="19"/>
      <c r="I60" s="19">
        <v>1</v>
      </c>
      <c r="J60" s="19">
        <v>1</v>
      </c>
      <c r="K60" s="15">
        <v>8.35</v>
      </c>
      <c r="L60" s="15">
        <v>0.56169999999999998</v>
      </c>
      <c r="M60" s="15">
        <f t="shared" si="1"/>
        <v>1.7803097739006588</v>
      </c>
      <c r="N60" s="15">
        <v>0.11976047904191617</v>
      </c>
      <c r="P60" s="19"/>
      <c r="Q60" s="19">
        <v>1</v>
      </c>
      <c r="R60" s="19"/>
      <c r="S60" s="19"/>
      <c r="T60" s="19"/>
      <c r="U60" s="19"/>
      <c r="V60" s="19"/>
      <c r="W60" s="19">
        <v>1</v>
      </c>
      <c r="Y60" s="19"/>
      <c r="Z60" s="19">
        <v>1</v>
      </c>
      <c r="AA60" s="19"/>
      <c r="AB60" s="19">
        <v>1</v>
      </c>
    </row>
    <row r="61" spans="2:28" x14ac:dyDescent="0.25">
      <c r="B61" s="13" t="s">
        <v>150</v>
      </c>
      <c r="D61" s="13" t="s">
        <v>64</v>
      </c>
      <c r="E61" s="13" t="s">
        <v>106</v>
      </c>
      <c r="F61" s="19">
        <v>1</v>
      </c>
      <c r="G61" s="19"/>
      <c r="H61" s="19"/>
      <c r="I61" s="19"/>
      <c r="J61" s="19">
        <v>1</v>
      </c>
      <c r="K61" s="15">
        <v>5.64</v>
      </c>
      <c r="L61" s="15">
        <v>0.42120000000000002</v>
      </c>
      <c r="M61" s="15">
        <f t="shared" si="1"/>
        <v>2.3741690408357075</v>
      </c>
      <c r="N61" s="15">
        <v>0.1773049645390071</v>
      </c>
      <c r="P61" s="19"/>
      <c r="Q61" s="19">
        <v>1</v>
      </c>
      <c r="R61" s="19"/>
      <c r="S61" s="19"/>
      <c r="T61" s="19"/>
      <c r="U61" s="19"/>
      <c r="V61" s="19"/>
      <c r="W61" s="19">
        <v>1</v>
      </c>
      <c r="Y61" s="19">
        <v>1</v>
      </c>
      <c r="Z61" s="19"/>
      <c r="AA61" s="19"/>
      <c r="AB61" s="19">
        <v>1</v>
      </c>
    </row>
    <row r="62" spans="2:28" x14ac:dyDescent="0.25">
      <c r="B62" s="13" t="s">
        <v>150</v>
      </c>
      <c r="D62" s="13" t="s">
        <v>64</v>
      </c>
      <c r="E62" s="13" t="s">
        <v>107</v>
      </c>
      <c r="F62" s="19"/>
      <c r="G62" s="19"/>
      <c r="H62" s="19"/>
      <c r="I62" s="19"/>
      <c r="J62" s="19">
        <v>0</v>
      </c>
      <c r="K62" s="15">
        <v>8.0299999999999994</v>
      </c>
      <c r="L62" s="15">
        <v>0.56410000000000005</v>
      </c>
      <c r="M62" s="15">
        <f t="shared" si="1"/>
        <v>0</v>
      </c>
      <c r="N62" s="15">
        <v>0</v>
      </c>
      <c r="P62" s="19"/>
      <c r="Q62" s="19"/>
      <c r="R62" s="19"/>
      <c r="S62" s="19"/>
      <c r="T62" s="19"/>
      <c r="U62" s="19"/>
      <c r="V62" s="19"/>
      <c r="W62" s="19">
        <v>0</v>
      </c>
      <c r="Y62" s="19"/>
      <c r="Z62" s="19"/>
      <c r="AA62" s="19"/>
      <c r="AB62" s="19">
        <v>0</v>
      </c>
    </row>
    <row r="63" spans="2:28" x14ac:dyDescent="0.25">
      <c r="B63" s="13" t="s">
        <v>150</v>
      </c>
      <c r="D63" s="13" t="s">
        <v>64</v>
      </c>
      <c r="E63" s="13" t="s">
        <v>108</v>
      </c>
      <c r="F63" s="19"/>
      <c r="G63" s="19"/>
      <c r="H63" s="19"/>
      <c r="I63" s="19"/>
      <c r="J63" s="19">
        <v>0</v>
      </c>
      <c r="K63" s="15">
        <v>8.4</v>
      </c>
      <c r="L63" s="15">
        <v>0.55679999999999996</v>
      </c>
      <c r="M63" s="15">
        <f t="shared" si="1"/>
        <v>0</v>
      </c>
      <c r="N63" s="15">
        <v>0</v>
      </c>
      <c r="P63" s="19"/>
      <c r="Q63" s="19"/>
      <c r="R63" s="19"/>
      <c r="S63" s="19"/>
      <c r="T63" s="19"/>
      <c r="U63" s="19"/>
      <c r="V63" s="19"/>
      <c r="W63" s="19">
        <v>0</v>
      </c>
      <c r="Y63" s="19"/>
      <c r="Z63" s="19"/>
      <c r="AA63" s="19"/>
      <c r="AB63" s="19">
        <v>0</v>
      </c>
    </row>
    <row r="64" spans="2:28" x14ac:dyDescent="0.25">
      <c r="B64" s="14"/>
      <c r="C64" s="14"/>
      <c r="D64" s="14"/>
      <c r="E64" s="14"/>
      <c r="F64" s="21">
        <v>25</v>
      </c>
      <c r="G64" s="21">
        <v>13</v>
      </c>
      <c r="H64" s="21">
        <v>20</v>
      </c>
      <c r="I64" s="21">
        <v>12</v>
      </c>
      <c r="J64" s="21">
        <v>70</v>
      </c>
      <c r="K64" s="21"/>
      <c r="L64" s="21"/>
      <c r="M64" s="21"/>
      <c r="N64" s="18">
        <v>12.480705731331888</v>
      </c>
      <c r="P64" s="21">
        <v>8</v>
      </c>
      <c r="Q64" s="21">
        <v>16</v>
      </c>
      <c r="R64" s="21">
        <v>10</v>
      </c>
      <c r="S64" s="21">
        <v>10</v>
      </c>
      <c r="T64" s="21">
        <v>19</v>
      </c>
      <c r="U64" s="21">
        <v>5</v>
      </c>
      <c r="V64" s="21">
        <v>2</v>
      </c>
      <c r="W64" s="21">
        <v>70</v>
      </c>
      <c r="Y64" s="21">
        <v>37</v>
      </c>
      <c r="Z64" s="21">
        <v>24</v>
      </c>
      <c r="AA64" s="21">
        <v>9</v>
      </c>
      <c r="AB64" s="21">
        <v>70</v>
      </c>
    </row>
    <row r="67" spans="2:28" s="19" customFormat="1" x14ac:dyDescent="0.25">
      <c r="B67" s="20"/>
      <c r="C67" s="20" t="s">
        <v>1</v>
      </c>
      <c r="D67" s="20" t="s">
        <v>34</v>
      </c>
      <c r="E67" s="20" t="s">
        <v>35</v>
      </c>
      <c r="F67" s="20" t="s">
        <v>36</v>
      </c>
      <c r="G67" s="20" t="s">
        <v>37</v>
      </c>
      <c r="H67" s="20" t="s">
        <v>38</v>
      </c>
      <c r="I67" s="20" t="s">
        <v>39</v>
      </c>
      <c r="J67" s="20" t="s">
        <v>40</v>
      </c>
      <c r="K67" s="14" t="s">
        <v>370</v>
      </c>
      <c r="L67" s="14" t="s">
        <v>372</v>
      </c>
      <c r="M67" s="69" t="s">
        <v>373</v>
      </c>
      <c r="N67" s="16" t="s">
        <v>371</v>
      </c>
      <c r="P67" s="20" t="s">
        <v>42</v>
      </c>
      <c r="Q67" s="20" t="s">
        <v>43</v>
      </c>
      <c r="R67" s="20" t="s">
        <v>44</v>
      </c>
      <c r="S67" s="20" t="s">
        <v>45</v>
      </c>
      <c r="T67" s="20" t="s">
        <v>46</v>
      </c>
      <c r="U67" s="20" t="s">
        <v>47</v>
      </c>
      <c r="V67" s="20" t="s">
        <v>48</v>
      </c>
      <c r="W67" s="20" t="s">
        <v>40</v>
      </c>
      <c r="Y67" s="20" t="s">
        <v>31</v>
      </c>
      <c r="Z67" s="20" t="s">
        <v>32</v>
      </c>
      <c r="AA67" s="20" t="s">
        <v>33</v>
      </c>
      <c r="AB67" s="20" t="s">
        <v>40</v>
      </c>
    </row>
    <row r="68" spans="2:28" x14ac:dyDescent="0.25">
      <c r="B68" s="13" t="s">
        <v>151</v>
      </c>
      <c r="C68" s="13" t="s">
        <v>7</v>
      </c>
      <c r="D68" s="13" t="s">
        <v>53</v>
      </c>
      <c r="E68" s="13" t="s">
        <v>109</v>
      </c>
      <c r="F68" s="19"/>
      <c r="G68" s="19"/>
      <c r="H68" s="19"/>
      <c r="I68" s="19"/>
      <c r="J68" s="19">
        <v>0</v>
      </c>
      <c r="K68" s="15">
        <v>5.13</v>
      </c>
      <c r="L68" s="15">
        <v>0.1394</v>
      </c>
      <c r="M68" s="15">
        <f>J68/L68</f>
        <v>0</v>
      </c>
      <c r="N68" s="15">
        <v>0</v>
      </c>
      <c r="P68" s="19"/>
      <c r="Q68" s="19"/>
      <c r="R68" s="19"/>
      <c r="S68" s="19"/>
      <c r="T68" s="50"/>
      <c r="U68" s="19"/>
      <c r="V68" s="19"/>
      <c r="W68" s="19">
        <v>0</v>
      </c>
      <c r="Y68" s="19"/>
      <c r="Z68" s="19"/>
      <c r="AA68" s="19"/>
      <c r="AB68" s="19">
        <v>0</v>
      </c>
    </row>
    <row r="69" spans="2:28" x14ac:dyDescent="0.25">
      <c r="B69" s="13" t="s">
        <v>151</v>
      </c>
      <c r="D69" s="13" t="s">
        <v>53</v>
      </c>
      <c r="E69" s="13" t="s">
        <v>110</v>
      </c>
      <c r="F69" s="19"/>
      <c r="G69" s="19"/>
      <c r="H69" s="19"/>
      <c r="I69" s="19"/>
      <c r="J69" s="19">
        <v>0</v>
      </c>
      <c r="K69" s="15">
        <v>7.93</v>
      </c>
      <c r="L69" s="15">
        <v>0.29449999999999998</v>
      </c>
      <c r="M69" s="15">
        <f t="shared" ref="M69:M107" si="2">J69/L69</f>
        <v>0</v>
      </c>
      <c r="N69" s="15">
        <v>0</v>
      </c>
      <c r="P69" s="19"/>
      <c r="Q69" s="19"/>
      <c r="R69" s="19"/>
      <c r="S69" s="19"/>
      <c r="T69" s="50"/>
      <c r="U69" s="19"/>
      <c r="V69" s="19"/>
      <c r="W69" s="19">
        <v>0</v>
      </c>
      <c r="Y69" s="19"/>
      <c r="Z69" s="19"/>
      <c r="AA69" s="19"/>
      <c r="AB69" s="19">
        <v>0</v>
      </c>
    </row>
    <row r="70" spans="2:28" x14ac:dyDescent="0.25">
      <c r="B70" s="13" t="s">
        <v>151</v>
      </c>
      <c r="D70" s="13" t="s">
        <v>53</v>
      </c>
      <c r="E70" s="13" t="s">
        <v>111</v>
      </c>
      <c r="F70" s="19">
        <v>1</v>
      </c>
      <c r="G70" s="19"/>
      <c r="H70" s="19">
        <v>2</v>
      </c>
      <c r="I70" s="19"/>
      <c r="J70" s="19">
        <v>3</v>
      </c>
      <c r="K70" s="15">
        <v>5.43</v>
      </c>
      <c r="L70" s="15">
        <v>0.18909999999999999</v>
      </c>
      <c r="M70" s="15">
        <f t="shared" si="2"/>
        <v>15.864621893178214</v>
      </c>
      <c r="N70" s="15">
        <v>0.5524861878453039</v>
      </c>
      <c r="P70" s="19"/>
      <c r="Q70" s="19"/>
      <c r="R70" s="19"/>
      <c r="S70" s="19">
        <v>1</v>
      </c>
      <c r="T70" s="50">
        <v>2</v>
      </c>
      <c r="U70" s="19"/>
      <c r="V70" s="48"/>
      <c r="W70" s="19">
        <v>3</v>
      </c>
      <c r="Y70" s="19">
        <v>1</v>
      </c>
      <c r="Z70" s="19">
        <v>2</v>
      </c>
      <c r="AA70" s="19"/>
      <c r="AB70" s="19">
        <v>3</v>
      </c>
    </row>
    <row r="71" spans="2:28" x14ac:dyDescent="0.25">
      <c r="B71" s="13" t="s">
        <v>151</v>
      </c>
      <c r="D71" s="13" t="s">
        <v>53</v>
      </c>
      <c r="E71" s="13" t="s">
        <v>112</v>
      </c>
      <c r="F71" s="19"/>
      <c r="G71" s="19"/>
      <c r="H71" s="19"/>
      <c r="I71" s="19"/>
      <c r="J71" s="19">
        <v>0</v>
      </c>
      <c r="K71" s="15">
        <v>6.46</v>
      </c>
      <c r="L71" s="15">
        <v>0.24579999999999999</v>
      </c>
      <c r="M71" s="15">
        <f t="shared" si="2"/>
        <v>0</v>
      </c>
      <c r="N71" s="15">
        <v>0</v>
      </c>
      <c r="P71" s="19"/>
      <c r="Q71" s="19"/>
      <c r="R71" s="19"/>
      <c r="S71" s="19"/>
      <c r="T71" s="50"/>
      <c r="U71" s="19"/>
      <c r="V71" s="19"/>
      <c r="W71" s="19">
        <v>0</v>
      </c>
      <c r="Y71" s="19"/>
      <c r="Z71" s="19"/>
      <c r="AA71" s="19"/>
      <c r="AB71" s="19">
        <v>0</v>
      </c>
    </row>
    <row r="72" spans="2:28" x14ac:dyDescent="0.25">
      <c r="B72" s="13" t="s">
        <v>151</v>
      </c>
      <c r="D72" s="13" t="s">
        <v>53</v>
      </c>
      <c r="E72" s="13" t="s">
        <v>113</v>
      </c>
      <c r="F72" s="19"/>
      <c r="G72" s="19"/>
      <c r="H72" s="19"/>
      <c r="I72" s="19">
        <v>2</v>
      </c>
      <c r="J72" s="19">
        <v>2</v>
      </c>
      <c r="K72" s="15">
        <v>12.51</v>
      </c>
      <c r="L72" s="15">
        <v>0.35799999999999998</v>
      </c>
      <c r="M72" s="15">
        <f t="shared" si="2"/>
        <v>5.5865921787709496</v>
      </c>
      <c r="N72" s="15">
        <v>0.1598721023181455</v>
      </c>
      <c r="P72" s="19"/>
      <c r="Q72" s="19"/>
      <c r="R72" s="19">
        <v>2</v>
      </c>
      <c r="S72" s="19"/>
      <c r="T72" s="50"/>
      <c r="U72" s="19"/>
      <c r="V72" s="19"/>
      <c r="W72" s="19">
        <v>2</v>
      </c>
      <c r="Y72" s="19">
        <v>1</v>
      </c>
      <c r="Z72" s="19">
        <v>1</v>
      </c>
      <c r="AA72" s="19"/>
      <c r="AB72" s="19">
        <v>2</v>
      </c>
    </row>
    <row r="73" spans="2:28" x14ac:dyDescent="0.25">
      <c r="B73" s="13" t="s">
        <v>151</v>
      </c>
      <c r="D73" s="13" t="s">
        <v>53</v>
      </c>
      <c r="E73" s="13" t="s">
        <v>114</v>
      </c>
      <c r="F73" s="19"/>
      <c r="G73" s="19"/>
      <c r="H73" s="19"/>
      <c r="I73" s="19"/>
      <c r="J73" s="19">
        <v>0</v>
      </c>
      <c r="K73" s="15">
        <v>9.61</v>
      </c>
      <c r="L73" s="15">
        <v>0.25480000000000003</v>
      </c>
      <c r="M73" s="15">
        <f t="shared" si="2"/>
        <v>0</v>
      </c>
      <c r="N73" s="15">
        <v>0</v>
      </c>
      <c r="P73" s="19"/>
      <c r="Q73" s="19"/>
      <c r="R73" s="19"/>
      <c r="S73" s="19"/>
      <c r="T73" s="50"/>
      <c r="U73" s="19"/>
      <c r="V73" s="19"/>
      <c r="W73" s="19">
        <v>0</v>
      </c>
      <c r="Y73" s="19"/>
      <c r="Z73" s="19"/>
      <c r="AA73" s="19"/>
      <c r="AB73" s="19">
        <v>0</v>
      </c>
    </row>
    <row r="74" spans="2:28" x14ac:dyDescent="0.25">
      <c r="B74" s="13" t="s">
        <v>151</v>
      </c>
      <c r="D74" s="13" t="s">
        <v>53</v>
      </c>
      <c r="E74" s="13" t="s">
        <v>115</v>
      </c>
      <c r="F74" s="19"/>
      <c r="G74" s="19"/>
      <c r="H74" s="19"/>
      <c r="I74" s="19"/>
      <c r="J74" s="19">
        <v>0</v>
      </c>
      <c r="K74" s="15">
        <v>9.39</v>
      </c>
      <c r="L74" s="15">
        <v>0.29110000000000003</v>
      </c>
      <c r="M74" s="15">
        <f t="shared" si="2"/>
        <v>0</v>
      </c>
      <c r="N74" s="15">
        <v>0</v>
      </c>
      <c r="P74" s="19"/>
      <c r="Q74" s="19"/>
      <c r="R74" s="19"/>
      <c r="S74" s="19"/>
      <c r="T74" s="50"/>
      <c r="U74" s="19"/>
      <c r="V74" s="19"/>
      <c r="W74" s="19">
        <v>0</v>
      </c>
      <c r="Y74" s="19"/>
      <c r="Z74" s="19"/>
      <c r="AA74" s="19"/>
      <c r="AB74" s="19">
        <v>0</v>
      </c>
    </row>
    <row r="75" spans="2:28" x14ac:dyDescent="0.25">
      <c r="B75" s="13" t="s">
        <v>151</v>
      </c>
      <c r="D75" s="13" t="s">
        <v>53</v>
      </c>
      <c r="E75" s="13" t="s">
        <v>116</v>
      </c>
      <c r="F75" s="19"/>
      <c r="G75" s="19"/>
      <c r="H75" s="19"/>
      <c r="I75" s="19"/>
      <c r="J75" s="19">
        <v>0</v>
      </c>
      <c r="K75" s="15">
        <v>10.79</v>
      </c>
      <c r="L75" s="15">
        <v>0.31040000000000001</v>
      </c>
      <c r="M75" s="15">
        <f t="shared" si="2"/>
        <v>0</v>
      </c>
      <c r="N75" s="15">
        <v>0</v>
      </c>
      <c r="P75" s="19"/>
      <c r="Q75" s="19"/>
      <c r="R75" s="19"/>
      <c r="S75" s="19"/>
      <c r="T75" s="50"/>
      <c r="U75" s="19"/>
      <c r="V75" s="19"/>
      <c r="W75" s="19">
        <v>0</v>
      </c>
      <c r="Y75" s="19"/>
      <c r="Z75" s="19"/>
      <c r="AA75" s="19"/>
      <c r="AB75" s="19">
        <v>0</v>
      </c>
    </row>
    <row r="76" spans="2:28" x14ac:dyDescent="0.25">
      <c r="B76" s="13" t="s">
        <v>151</v>
      </c>
      <c r="D76" s="13" t="s">
        <v>53</v>
      </c>
      <c r="E76" s="13" t="s">
        <v>117</v>
      </c>
      <c r="F76" s="19"/>
      <c r="G76" s="19"/>
      <c r="H76" s="19">
        <v>3</v>
      </c>
      <c r="I76" s="19"/>
      <c r="J76" s="19">
        <v>3</v>
      </c>
      <c r="K76" s="15">
        <v>7.71</v>
      </c>
      <c r="L76" s="15">
        <v>0.25530000000000003</v>
      </c>
      <c r="M76" s="15">
        <f t="shared" si="2"/>
        <v>11.750881316098706</v>
      </c>
      <c r="N76" s="15">
        <v>0.38910505836575876</v>
      </c>
      <c r="P76" s="19"/>
      <c r="Q76" s="19"/>
      <c r="R76" s="19"/>
      <c r="S76" s="19">
        <v>2</v>
      </c>
      <c r="T76" s="50">
        <v>1</v>
      </c>
      <c r="U76" s="19"/>
      <c r="V76" s="19"/>
      <c r="W76" s="19">
        <v>3</v>
      </c>
      <c r="Y76" s="19">
        <v>1</v>
      </c>
      <c r="Z76" s="19">
        <v>2</v>
      </c>
      <c r="AA76" s="19"/>
      <c r="AB76" s="19">
        <v>3</v>
      </c>
    </row>
    <row r="77" spans="2:28" x14ac:dyDescent="0.25">
      <c r="B77" s="13" t="s">
        <v>151</v>
      </c>
      <c r="D77" s="13" t="s">
        <v>53</v>
      </c>
      <c r="E77" s="13" t="s">
        <v>118</v>
      </c>
      <c r="F77" s="19"/>
      <c r="G77" s="19"/>
      <c r="H77" s="19"/>
      <c r="I77" s="19"/>
      <c r="J77" s="19">
        <v>0</v>
      </c>
      <c r="K77" s="15">
        <v>8.5500000000000007</v>
      </c>
      <c r="L77" s="15">
        <v>0.2321</v>
      </c>
      <c r="M77" s="15">
        <f t="shared" si="2"/>
        <v>0</v>
      </c>
      <c r="N77" s="15">
        <v>0</v>
      </c>
      <c r="P77" s="19"/>
      <c r="Q77" s="19"/>
      <c r="R77" s="19"/>
      <c r="S77" s="19"/>
      <c r="T77" s="50"/>
      <c r="U77" s="19"/>
      <c r="V77" s="19"/>
      <c r="W77" s="19">
        <v>0</v>
      </c>
      <c r="Y77" s="19"/>
      <c r="Z77" s="19"/>
      <c r="AA77" s="19"/>
      <c r="AB77" s="19">
        <v>0</v>
      </c>
    </row>
    <row r="78" spans="2:28" x14ac:dyDescent="0.25">
      <c r="B78" s="13" t="s">
        <v>151</v>
      </c>
      <c r="D78" s="13" t="s">
        <v>53</v>
      </c>
      <c r="E78" s="13" t="s">
        <v>119</v>
      </c>
      <c r="F78" s="19"/>
      <c r="G78" s="19"/>
      <c r="H78" s="19"/>
      <c r="I78" s="19"/>
      <c r="J78" s="19">
        <v>0</v>
      </c>
      <c r="K78" s="15">
        <v>4.8600000000000003</v>
      </c>
      <c r="L78" s="15">
        <v>0.1358</v>
      </c>
      <c r="M78" s="15">
        <f t="shared" si="2"/>
        <v>0</v>
      </c>
      <c r="N78" s="15">
        <v>0</v>
      </c>
      <c r="P78" s="19"/>
      <c r="Q78" s="19"/>
      <c r="R78" s="19"/>
      <c r="S78" s="19"/>
      <c r="T78" s="50"/>
      <c r="U78" s="19"/>
      <c r="V78" s="19"/>
      <c r="W78" s="19">
        <v>0</v>
      </c>
      <c r="Y78" s="19"/>
      <c r="Z78" s="19"/>
      <c r="AA78" s="19"/>
      <c r="AB78" s="19">
        <v>0</v>
      </c>
    </row>
    <row r="79" spans="2:28" x14ac:dyDescent="0.25">
      <c r="B79" s="13" t="s">
        <v>151</v>
      </c>
      <c r="D79" s="13" t="s">
        <v>53</v>
      </c>
      <c r="E79" s="13" t="s">
        <v>120</v>
      </c>
      <c r="F79" s="19"/>
      <c r="G79" s="19"/>
      <c r="H79" s="19"/>
      <c r="I79" s="19"/>
      <c r="J79" s="19">
        <v>0</v>
      </c>
      <c r="K79" s="15">
        <v>6.63</v>
      </c>
      <c r="L79" s="15">
        <v>0.21440000000000001</v>
      </c>
      <c r="M79" s="15">
        <f t="shared" si="2"/>
        <v>0</v>
      </c>
      <c r="N79" s="15">
        <v>0</v>
      </c>
      <c r="P79" s="19"/>
      <c r="Q79" s="19"/>
      <c r="R79" s="19"/>
      <c r="S79" s="19"/>
      <c r="T79" s="50"/>
      <c r="U79" s="19"/>
      <c r="V79" s="19"/>
      <c r="W79" s="19">
        <v>0</v>
      </c>
      <c r="Y79" s="19"/>
      <c r="Z79" s="19"/>
      <c r="AA79" s="19"/>
      <c r="AB79" s="19">
        <v>0</v>
      </c>
    </row>
    <row r="80" spans="2:28" x14ac:dyDescent="0.25">
      <c r="B80" s="13" t="s">
        <v>151</v>
      </c>
      <c r="D80" s="13" t="s">
        <v>53</v>
      </c>
      <c r="E80" s="13" t="s">
        <v>121</v>
      </c>
      <c r="F80" s="19"/>
      <c r="G80" s="19"/>
      <c r="H80" s="19">
        <v>1</v>
      </c>
      <c r="I80" s="19"/>
      <c r="J80" s="19">
        <v>1</v>
      </c>
      <c r="K80" s="15">
        <v>6.62</v>
      </c>
      <c r="L80" s="15">
        <v>0.2069</v>
      </c>
      <c r="M80" s="15">
        <f t="shared" si="2"/>
        <v>4.8332527791203477</v>
      </c>
      <c r="N80" s="15">
        <v>0.15105740181268881</v>
      </c>
      <c r="P80" s="19"/>
      <c r="Q80" s="19"/>
      <c r="R80" s="19"/>
      <c r="S80" s="19"/>
      <c r="T80" s="50">
        <v>1</v>
      </c>
      <c r="U80" s="19"/>
      <c r="V80" s="19"/>
      <c r="W80" s="19">
        <v>1</v>
      </c>
      <c r="Y80" s="19"/>
      <c r="Z80" s="19">
        <v>1</v>
      </c>
      <c r="AA80" s="19"/>
      <c r="AB80" s="19">
        <v>1</v>
      </c>
    </row>
    <row r="81" spans="2:35" x14ac:dyDescent="0.25">
      <c r="B81" s="13" t="s">
        <v>151</v>
      </c>
      <c r="D81" s="13" t="s">
        <v>53</v>
      </c>
      <c r="E81" s="13" t="s">
        <v>122</v>
      </c>
      <c r="F81" s="19"/>
      <c r="G81" s="19"/>
      <c r="H81" s="19"/>
      <c r="I81" s="19"/>
      <c r="J81" s="19">
        <v>0</v>
      </c>
      <c r="K81" s="15">
        <v>4.55</v>
      </c>
      <c r="L81" s="15">
        <v>0.14030000000000001</v>
      </c>
      <c r="M81" s="15">
        <f t="shared" si="2"/>
        <v>0</v>
      </c>
      <c r="N81" s="15">
        <v>0</v>
      </c>
      <c r="P81" s="19"/>
      <c r="Q81" s="19"/>
      <c r="R81" s="19"/>
      <c r="S81" s="19"/>
      <c r="T81" s="50"/>
      <c r="U81" s="19"/>
      <c r="V81" s="19"/>
      <c r="W81" s="19">
        <v>0</v>
      </c>
      <c r="Y81" s="19"/>
      <c r="Z81" s="19"/>
      <c r="AA81" s="19"/>
      <c r="AB81" s="19">
        <v>0</v>
      </c>
    </row>
    <row r="82" spans="2:35" x14ac:dyDescent="0.25">
      <c r="B82" s="13" t="s">
        <v>151</v>
      </c>
      <c r="D82" s="13" t="s">
        <v>53</v>
      </c>
      <c r="E82" s="13" t="s">
        <v>123</v>
      </c>
      <c r="F82" s="19">
        <v>3</v>
      </c>
      <c r="G82" s="19"/>
      <c r="H82" s="19">
        <v>2</v>
      </c>
      <c r="I82" s="19"/>
      <c r="J82" s="19">
        <v>5</v>
      </c>
      <c r="K82" s="15">
        <v>9.1999999999999993</v>
      </c>
      <c r="L82" s="15">
        <v>0.25009999999999999</v>
      </c>
      <c r="M82" s="15">
        <f t="shared" si="2"/>
        <v>19.992003198720514</v>
      </c>
      <c r="N82" s="15">
        <v>0.5434782608695653</v>
      </c>
      <c r="P82" s="19">
        <v>2</v>
      </c>
      <c r="Q82" s="19">
        <v>1</v>
      </c>
      <c r="R82" s="19"/>
      <c r="S82" s="19">
        <v>2</v>
      </c>
      <c r="T82" s="50"/>
      <c r="U82" s="19"/>
      <c r="V82" s="19"/>
      <c r="W82" s="19">
        <v>5</v>
      </c>
      <c r="Y82" s="19">
        <v>4</v>
      </c>
      <c r="Z82" s="19">
        <v>1</v>
      </c>
      <c r="AA82" s="19"/>
      <c r="AB82" s="19">
        <v>5</v>
      </c>
    </row>
    <row r="83" spans="2:35" x14ac:dyDescent="0.25">
      <c r="B83" s="13" t="s">
        <v>151</v>
      </c>
      <c r="D83" s="13" t="s">
        <v>53</v>
      </c>
      <c r="E83" s="13" t="s">
        <v>124</v>
      </c>
      <c r="F83" s="19"/>
      <c r="G83" s="19"/>
      <c r="H83" s="19"/>
      <c r="I83" s="19"/>
      <c r="J83" s="19">
        <v>0</v>
      </c>
      <c r="K83" s="15">
        <v>9.4499999999999993</v>
      </c>
      <c r="L83" s="15">
        <v>0.29339999999999999</v>
      </c>
      <c r="M83" s="15">
        <f t="shared" si="2"/>
        <v>0</v>
      </c>
      <c r="N83" s="15">
        <v>0</v>
      </c>
      <c r="P83" s="19"/>
      <c r="Q83" s="19"/>
      <c r="R83" s="19"/>
      <c r="S83" s="19"/>
      <c r="T83" s="50"/>
      <c r="U83" s="19"/>
      <c r="V83" s="19"/>
      <c r="W83" s="19">
        <v>0</v>
      </c>
      <c r="Y83" s="19"/>
      <c r="Z83" s="19"/>
      <c r="AA83" s="19"/>
      <c r="AB83" s="19">
        <v>0</v>
      </c>
      <c r="AH83" s="51">
        <f>J86/K86</f>
        <v>0.14792899408284024</v>
      </c>
    </row>
    <row r="84" spans="2:35" x14ac:dyDescent="0.25">
      <c r="B84" s="13" t="s">
        <v>151</v>
      </c>
      <c r="D84" s="13" t="s">
        <v>53</v>
      </c>
      <c r="E84" s="13" t="s">
        <v>125</v>
      </c>
      <c r="F84" s="19"/>
      <c r="G84" s="19"/>
      <c r="H84" s="19">
        <v>1</v>
      </c>
      <c r="I84" s="19"/>
      <c r="J84" s="19">
        <v>1</v>
      </c>
      <c r="K84" s="15">
        <v>6.79</v>
      </c>
      <c r="L84" s="15">
        <v>0.1983</v>
      </c>
      <c r="M84" s="15">
        <f t="shared" si="2"/>
        <v>5.0428643469490666</v>
      </c>
      <c r="N84" s="15">
        <v>0.14727540500736377</v>
      </c>
      <c r="P84" s="19">
        <v>1</v>
      </c>
      <c r="Q84" s="19"/>
      <c r="R84" s="19"/>
      <c r="S84" s="19"/>
      <c r="T84" s="50"/>
      <c r="U84" s="19"/>
      <c r="V84" s="19"/>
      <c r="W84" s="19">
        <v>1</v>
      </c>
      <c r="Y84" s="19"/>
      <c r="Z84" s="19">
        <v>1</v>
      </c>
      <c r="AA84" s="19"/>
      <c r="AB84" s="19">
        <v>1</v>
      </c>
    </row>
    <row r="85" spans="2:35" x14ac:dyDescent="0.25">
      <c r="B85" s="13" t="s">
        <v>151</v>
      </c>
      <c r="D85" s="13" t="s">
        <v>53</v>
      </c>
      <c r="E85" s="13" t="s">
        <v>126</v>
      </c>
      <c r="F85" s="19"/>
      <c r="G85" s="19"/>
      <c r="H85" s="19"/>
      <c r="I85" s="19"/>
      <c r="J85" s="19">
        <v>0</v>
      </c>
      <c r="K85" s="15">
        <v>8.02</v>
      </c>
      <c r="L85" s="15">
        <v>0.2429</v>
      </c>
      <c r="M85" s="15">
        <f t="shared" si="2"/>
        <v>0</v>
      </c>
      <c r="N85" s="15">
        <v>0</v>
      </c>
      <c r="P85" s="19"/>
      <c r="Q85" s="19"/>
      <c r="R85" s="19"/>
      <c r="S85" s="19"/>
      <c r="T85" s="50"/>
      <c r="U85" s="19"/>
      <c r="V85" s="19"/>
      <c r="W85" s="19">
        <v>0</v>
      </c>
      <c r="Y85" s="19"/>
      <c r="Z85" s="19"/>
      <c r="AA85" s="19"/>
      <c r="AB85" s="19">
        <v>0</v>
      </c>
    </row>
    <row r="86" spans="2:35" x14ac:dyDescent="0.25">
      <c r="B86" s="13" t="s">
        <v>151</v>
      </c>
      <c r="D86" s="13" t="s">
        <v>53</v>
      </c>
      <c r="E86" s="13" t="s">
        <v>127</v>
      </c>
      <c r="F86" s="19"/>
      <c r="G86" s="19"/>
      <c r="H86" s="19">
        <v>1</v>
      </c>
      <c r="I86" s="19"/>
      <c r="J86" s="19">
        <v>1</v>
      </c>
      <c r="K86" s="15">
        <v>6.76</v>
      </c>
      <c r="L86" s="53">
        <v>0.18310000000000001</v>
      </c>
      <c r="M86" s="15">
        <f t="shared" si="2"/>
        <v>5.4614964500273073</v>
      </c>
      <c r="N86" s="15">
        <v>0.15</v>
      </c>
      <c r="P86" s="19"/>
      <c r="Q86" s="19"/>
      <c r="R86" s="19">
        <v>1</v>
      </c>
      <c r="S86" s="19"/>
      <c r="T86" s="50"/>
      <c r="U86" s="19"/>
      <c r="V86" s="19"/>
      <c r="W86" s="19">
        <v>1</v>
      </c>
      <c r="Y86" s="19"/>
      <c r="Z86" s="19">
        <v>1</v>
      </c>
      <c r="AA86" s="19"/>
      <c r="AB86" s="19">
        <v>1</v>
      </c>
    </row>
    <row r="87" spans="2:35" x14ac:dyDescent="0.25">
      <c r="B87" s="13" t="s">
        <v>151</v>
      </c>
      <c r="D87" s="13" t="s">
        <v>53</v>
      </c>
      <c r="E87" s="13" t="s">
        <v>128</v>
      </c>
      <c r="F87" s="19"/>
      <c r="G87" s="19"/>
      <c r="H87" s="19">
        <v>2</v>
      </c>
      <c r="I87" s="19"/>
      <c r="J87" s="19">
        <v>2</v>
      </c>
      <c r="K87" s="15">
        <v>7.02</v>
      </c>
      <c r="L87" s="15">
        <v>0.1729</v>
      </c>
      <c r="M87" s="15">
        <f t="shared" si="2"/>
        <v>11.56737998843262</v>
      </c>
      <c r="N87" s="15">
        <v>0.28490028490028491</v>
      </c>
      <c r="P87" s="19"/>
      <c r="Q87" s="19"/>
      <c r="R87" s="19">
        <v>2</v>
      </c>
      <c r="S87" s="19"/>
      <c r="T87" s="50"/>
      <c r="U87" s="19"/>
      <c r="V87" s="19"/>
      <c r="W87" s="19">
        <v>2</v>
      </c>
      <c r="Y87" s="19">
        <v>1</v>
      </c>
      <c r="Z87" s="19"/>
      <c r="AA87" s="19">
        <v>1</v>
      </c>
      <c r="AB87" s="19">
        <v>2</v>
      </c>
    </row>
    <row r="88" spans="2:35" x14ac:dyDescent="0.25">
      <c r="B88" s="13" t="s">
        <v>151</v>
      </c>
      <c r="D88" s="13" t="s">
        <v>64</v>
      </c>
      <c r="E88" s="13" t="s">
        <v>129</v>
      </c>
      <c r="F88" s="19">
        <v>6</v>
      </c>
      <c r="G88" s="19"/>
      <c r="H88" s="19">
        <v>6</v>
      </c>
      <c r="I88" s="19"/>
      <c r="J88" s="19">
        <v>12</v>
      </c>
      <c r="K88" s="15">
        <v>5.13</v>
      </c>
      <c r="L88" s="15">
        <v>0.43459999999999999</v>
      </c>
      <c r="M88" s="15">
        <f t="shared" si="2"/>
        <v>27.611596870685688</v>
      </c>
      <c r="N88" s="15">
        <v>2.3391812865497075</v>
      </c>
      <c r="P88" s="19">
        <v>1</v>
      </c>
      <c r="Q88" s="19">
        <v>4</v>
      </c>
      <c r="R88" s="19">
        <v>1</v>
      </c>
      <c r="S88" s="19">
        <v>6</v>
      </c>
      <c r="T88" s="50"/>
      <c r="U88" s="19"/>
      <c r="V88" s="19"/>
      <c r="W88" s="19">
        <v>12</v>
      </c>
      <c r="Y88" s="19">
        <v>8</v>
      </c>
      <c r="Z88" s="19">
        <v>3</v>
      </c>
      <c r="AA88" s="19">
        <v>1</v>
      </c>
      <c r="AB88" s="19">
        <v>12</v>
      </c>
    </row>
    <row r="89" spans="2:35" x14ac:dyDescent="0.25">
      <c r="B89" s="13" t="s">
        <v>151</v>
      </c>
      <c r="D89" s="13" t="s">
        <v>64</v>
      </c>
      <c r="E89" s="13" t="s">
        <v>130</v>
      </c>
      <c r="F89" s="19">
        <v>1</v>
      </c>
      <c r="G89" s="19"/>
      <c r="H89" s="19">
        <v>3</v>
      </c>
      <c r="I89" s="19"/>
      <c r="J89" s="19">
        <v>4</v>
      </c>
      <c r="K89" s="15">
        <v>7.93</v>
      </c>
      <c r="L89" s="15">
        <v>0.75090000000000001</v>
      </c>
      <c r="M89" s="15">
        <f t="shared" si="2"/>
        <v>5.3269410041283791</v>
      </c>
      <c r="N89" s="15">
        <v>0.50441361916771754</v>
      </c>
      <c r="P89" s="19"/>
      <c r="Q89" s="19">
        <v>2</v>
      </c>
      <c r="R89" s="19">
        <v>1</v>
      </c>
      <c r="S89" s="19">
        <v>1</v>
      </c>
      <c r="T89" s="50"/>
      <c r="U89" s="19"/>
      <c r="V89" s="19"/>
      <c r="W89" s="19">
        <v>4</v>
      </c>
      <c r="Y89" s="19">
        <v>3</v>
      </c>
      <c r="Z89" s="19">
        <v>1</v>
      </c>
      <c r="AA89" s="19"/>
      <c r="AB89" s="19">
        <v>4</v>
      </c>
    </row>
    <row r="90" spans="2:35" x14ac:dyDescent="0.25">
      <c r="B90" s="13" t="s">
        <v>151</v>
      </c>
      <c r="D90" s="13" t="s">
        <v>64</v>
      </c>
      <c r="E90" s="13" t="s">
        <v>131</v>
      </c>
      <c r="F90" s="19"/>
      <c r="G90" s="19"/>
      <c r="H90" s="19"/>
      <c r="I90" s="19"/>
      <c r="J90" s="19">
        <v>0</v>
      </c>
      <c r="K90" s="15">
        <v>5.43</v>
      </c>
      <c r="L90" s="15">
        <v>0.29389999999999999</v>
      </c>
      <c r="M90" s="15">
        <f t="shared" si="2"/>
        <v>0</v>
      </c>
      <c r="N90" s="15">
        <v>0</v>
      </c>
      <c r="P90" s="19"/>
      <c r="Q90" s="19"/>
      <c r="R90" s="19"/>
      <c r="S90" s="19"/>
      <c r="T90" s="50"/>
      <c r="U90" s="19"/>
      <c r="V90" s="19"/>
      <c r="W90" s="19">
        <v>0</v>
      </c>
      <c r="Y90" s="19"/>
      <c r="Z90" s="19"/>
      <c r="AA90" s="19"/>
      <c r="AB90" s="19">
        <v>0</v>
      </c>
    </row>
    <row r="91" spans="2:35" x14ac:dyDescent="0.25">
      <c r="B91" s="13" t="s">
        <v>151</v>
      </c>
      <c r="D91" s="13" t="s">
        <v>64</v>
      </c>
      <c r="E91" s="13" t="s">
        <v>132</v>
      </c>
      <c r="F91" s="19"/>
      <c r="G91" s="19"/>
      <c r="H91" s="19"/>
      <c r="I91" s="19"/>
      <c r="J91" s="19">
        <v>0</v>
      </c>
      <c r="K91" s="15">
        <v>6.46</v>
      </c>
      <c r="L91" s="15">
        <v>0.3775</v>
      </c>
      <c r="M91" s="15">
        <f t="shared" si="2"/>
        <v>0</v>
      </c>
      <c r="N91" s="15">
        <v>0</v>
      </c>
      <c r="P91" s="19"/>
      <c r="Q91" s="19"/>
      <c r="R91" s="19"/>
      <c r="S91" s="19"/>
      <c r="T91" s="50"/>
      <c r="U91" s="19"/>
      <c r="V91" s="19"/>
      <c r="W91" s="19">
        <v>0</v>
      </c>
      <c r="Y91" s="19"/>
      <c r="Z91" s="19"/>
      <c r="AA91" s="19"/>
      <c r="AB91" s="19">
        <v>0</v>
      </c>
    </row>
    <row r="92" spans="2:35" x14ac:dyDescent="0.25">
      <c r="B92" s="13" t="s">
        <v>151</v>
      </c>
      <c r="D92" s="13" t="s">
        <v>64</v>
      </c>
      <c r="E92" s="13" t="s">
        <v>133</v>
      </c>
      <c r="F92" s="19">
        <v>2</v>
      </c>
      <c r="G92" s="19"/>
      <c r="H92" s="19"/>
      <c r="I92" s="19"/>
      <c r="J92" s="19">
        <v>2</v>
      </c>
      <c r="K92" s="15">
        <v>12.51</v>
      </c>
      <c r="L92" s="15">
        <v>0.88200000000000001</v>
      </c>
      <c r="M92" s="15">
        <f t="shared" si="2"/>
        <v>2.2675736961451247</v>
      </c>
      <c r="N92" s="15">
        <v>0.1598721023181455</v>
      </c>
      <c r="P92" s="19"/>
      <c r="Q92" s="19"/>
      <c r="R92" s="19">
        <v>1</v>
      </c>
      <c r="S92" s="19">
        <v>1</v>
      </c>
      <c r="T92" s="50"/>
      <c r="U92" s="19"/>
      <c r="V92" s="19"/>
      <c r="W92" s="19">
        <v>2</v>
      </c>
      <c r="Y92" s="19">
        <v>2</v>
      </c>
      <c r="Z92" s="19"/>
      <c r="AA92" s="19"/>
      <c r="AB92" s="19">
        <v>2</v>
      </c>
    </row>
    <row r="93" spans="2:35" x14ac:dyDescent="0.25">
      <c r="B93" s="13" t="s">
        <v>151</v>
      </c>
      <c r="D93" s="13" t="s">
        <v>64</v>
      </c>
      <c r="E93" s="13" t="s">
        <v>134</v>
      </c>
      <c r="F93" s="19">
        <v>1</v>
      </c>
      <c r="G93" s="19"/>
      <c r="H93" s="19"/>
      <c r="I93" s="19"/>
      <c r="J93" s="19">
        <v>1</v>
      </c>
      <c r="K93" s="15">
        <v>9.61</v>
      </c>
      <c r="L93" s="15">
        <v>0.42459999999999998</v>
      </c>
      <c r="M93" s="15">
        <f t="shared" si="2"/>
        <v>2.3551577955723033</v>
      </c>
      <c r="N93" s="15">
        <v>0.10405827263267431</v>
      </c>
      <c r="P93" s="19"/>
      <c r="Q93" s="19"/>
      <c r="R93" s="19"/>
      <c r="S93" s="19">
        <v>1</v>
      </c>
      <c r="T93" s="50"/>
      <c r="U93" s="19"/>
      <c r="V93" s="19"/>
      <c r="W93" s="19">
        <v>1</v>
      </c>
      <c r="Y93" s="19">
        <v>1</v>
      </c>
      <c r="Z93" s="19"/>
      <c r="AA93" s="19"/>
      <c r="AB93" s="19">
        <v>1</v>
      </c>
      <c r="AI93" s="47"/>
    </row>
    <row r="94" spans="2:35" x14ac:dyDescent="0.25">
      <c r="B94" s="13" t="s">
        <v>151</v>
      </c>
      <c r="D94" s="13" t="s">
        <v>64</v>
      </c>
      <c r="E94" s="13" t="s">
        <v>135</v>
      </c>
      <c r="F94" s="19"/>
      <c r="G94" s="19"/>
      <c r="H94" s="19"/>
      <c r="I94" s="19"/>
      <c r="J94" s="19">
        <v>0</v>
      </c>
      <c r="K94" s="15">
        <v>9.39</v>
      </c>
      <c r="L94" s="15">
        <v>0.42120000000000002</v>
      </c>
      <c r="M94" s="15">
        <f t="shared" si="2"/>
        <v>0</v>
      </c>
      <c r="N94" s="15">
        <v>0</v>
      </c>
      <c r="P94" s="19"/>
      <c r="Q94" s="19"/>
      <c r="R94" s="19"/>
      <c r="S94" s="19"/>
      <c r="T94" s="50"/>
      <c r="U94" s="19"/>
      <c r="V94" s="19"/>
      <c r="W94" s="19">
        <v>0</v>
      </c>
      <c r="Y94" s="19"/>
      <c r="Z94" s="19"/>
      <c r="AA94" s="19"/>
      <c r="AB94" s="19">
        <v>0</v>
      </c>
    </row>
    <row r="95" spans="2:35" x14ac:dyDescent="0.25">
      <c r="B95" s="13" t="s">
        <v>151</v>
      </c>
      <c r="D95" s="13" t="s">
        <v>64</v>
      </c>
      <c r="E95" s="13" t="s">
        <v>136</v>
      </c>
      <c r="F95" s="19">
        <v>3</v>
      </c>
      <c r="G95" s="19"/>
      <c r="H95" s="19">
        <v>2</v>
      </c>
      <c r="I95" s="19"/>
      <c r="J95" s="19">
        <v>5</v>
      </c>
      <c r="K95" s="15">
        <v>10.79</v>
      </c>
      <c r="L95" s="15">
        <v>0.54020000000000001</v>
      </c>
      <c r="M95" s="15">
        <f t="shared" si="2"/>
        <v>9.2558311736393932</v>
      </c>
      <c r="N95" s="15">
        <v>0.46339202965708992</v>
      </c>
      <c r="P95" s="19"/>
      <c r="Q95" s="19"/>
      <c r="R95" s="19">
        <v>2</v>
      </c>
      <c r="S95" s="19">
        <v>2</v>
      </c>
      <c r="T95" s="50">
        <v>1</v>
      </c>
      <c r="U95" s="19"/>
      <c r="V95" s="19"/>
      <c r="W95" s="19">
        <v>5</v>
      </c>
      <c r="Y95" s="19">
        <v>3</v>
      </c>
      <c r="Z95" s="19">
        <v>1</v>
      </c>
      <c r="AA95" s="19">
        <v>1</v>
      </c>
      <c r="AB95" s="19">
        <v>5</v>
      </c>
    </row>
    <row r="96" spans="2:35" x14ac:dyDescent="0.25">
      <c r="B96" s="13" t="s">
        <v>151</v>
      </c>
      <c r="D96" s="13" t="s">
        <v>64</v>
      </c>
      <c r="E96" s="13" t="s">
        <v>137</v>
      </c>
      <c r="F96" s="19">
        <v>3</v>
      </c>
      <c r="G96" s="19"/>
      <c r="H96" s="19">
        <v>2</v>
      </c>
      <c r="I96" s="19">
        <v>1</v>
      </c>
      <c r="J96" s="19">
        <v>6</v>
      </c>
      <c r="K96" s="15">
        <v>7.71</v>
      </c>
      <c r="L96" s="15">
        <v>0.3518</v>
      </c>
      <c r="M96" s="15">
        <f t="shared" si="2"/>
        <v>17.055144968732233</v>
      </c>
      <c r="N96" s="15">
        <v>0.77821011673151752</v>
      </c>
      <c r="P96" s="19">
        <v>1</v>
      </c>
      <c r="Q96" s="19">
        <v>2</v>
      </c>
      <c r="R96" s="19">
        <v>1</v>
      </c>
      <c r="S96" s="19">
        <v>1</v>
      </c>
      <c r="T96" s="50">
        <v>1</v>
      </c>
      <c r="U96" s="19"/>
      <c r="V96" s="19"/>
      <c r="W96" s="19">
        <v>6</v>
      </c>
      <c r="Y96" s="19">
        <v>4</v>
      </c>
      <c r="Z96" s="19">
        <v>1</v>
      </c>
      <c r="AA96" s="19">
        <v>1</v>
      </c>
      <c r="AB96" s="19">
        <v>6</v>
      </c>
    </row>
    <row r="97" spans="2:28" x14ac:dyDescent="0.25">
      <c r="B97" s="13" t="s">
        <v>151</v>
      </c>
      <c r="D97" s="13" t="s">
        <v>64</v>
      </c>
      <c r="E97" s="13" t="s">
        <v>138</v>
      </c>
      <c r="F97" s="19"/>
      <c r="G97" s="19"/>
      <c r="H97" s="19">
        <v>1</v>
      </c>
      <c r="I97" s="19"/>
      <c r="J97" s="19">
        <v>1</v>
      </c>
      <c r="K97" s="15">
        <v>8.5500000000000007</v>
      </c>
      <c r="L97" s="15">
        <v>0.37009999999999998</v>
      </c>
      <c r="M97" s="15">
        <f t="shared" si="2"/>
        <v>2.7019724398811134</v>
      </c>
      <c r="N97" s="15">
        <v>0.11695906432748537</v>
      </c>
      <c r="P97" s="19"/>
      <c r="Q97" s="19"/>
      <c r="R97" s="19"/>
      <c r="S97" s="19">
        <v>1</v>
      </c>
      <c r="T97" s="50"/>
      <c r="U97" s="19"/>
      <c r="V97" s="19"/>
      <c r="W97" s="19">
        <v>1</v>
      </c>
      <c r="Y97" s="19"/>
      <c r="Z97" s="19">
        <v>1</v>
      </c>
      <c r="AA97" s="19"/>
      <c r="AB97" s="19">
        <v>1</v>
      </c>
    </row>
    <row r="98" spans="2:28" x14ac:dyDescent="0.25">
      <c r="B98" s="13" t="s">
        <v>151</v>
      </c>
      <c r="D98" s="13" t="s">
        <v>64</v>
      </c>
      <c r="E98" s="13" t="s">
        <v>139</v>
      </c>
      <c r="F98" s="19"/>
      <c r="G98" s="19"/>
      <c r="H98" s="19">
        <v>1</v>
      </c>
      <c r="I98" s="19"/>
      <c r="J98" s="19">
        <v>1</v>
      </c>
      <c r="K98" s="15">
        <v>4.8600000000000003</v>
      </c>
      <c r="L98" s="15">
        <v>0.28610000000000002</v>
      </c>
      <c r="M98" s="15">
        <f t="shared" si="2"/>
        <v>3.4952813701502969</v>
      </c>
      <c r="N98" s="15">
        <v>0.20576131687242796</v>
      </c>
      <c r="P98" s="19"/>
      <c r="Q98" s="19"/>
      <c r="R98" s="19"/>
      <c r="S98" s="19">
        <v>1</v>
      </c>
      <c r="T98" s="50"/>
      <c r="U98" s="19"/>
      <c r="V98" s="19"/>
      <c r="W98" s="19">
        <v>1</v>
      </c>
      <c r="Y98" s="19">
        <v>1</v>
      </c>
      <c r="Z98" s="19"/>
      <c r="AA98" s="19"/>
      <c r="AB98" s="19">
        <v>1</v>
      </c>
    </row>
    <row r="99" spans="2:28" x14ac:dyDescent="0.25">
      <c r="B99" s="13" t="s">
        <v>151</v>
      </c>
      <c r="D99" s="13" t="s">
        <v>64</v>
      </c>
      <c r="E99" s="13" t="s">
        <v>140</v>
      </c>
      <c r="F99" s="19"/>
      <c r="G99" s="19"/>
      <c r="H99" s="19"/>
      <c r="I99" s="19"/>
      <c r="J99" s="19">
        <v>0</v>
      </c>
      <c r="K99" s="15">
        <v>6.63</v>
      </c>
      <c r="L99" s="15">
        <v>0.39050000000000001</v>
      </c>
      <c r="M99" s="15">
        <f t="shared" si="2"/>
        <v>0</v>
      </c>
      <c r="N99" s="15">
        <v>0</v>
      </c>
      <c r="P99" s="19"/>
      <c r="Q99" s="19"/>
      <c r="R99" s="19"/>
      <c r="S99" s="19"/>
      <c r="T99" s="50"/>
      <c r="U99" s="19"/>
      <c r="V99" s="19"/>
      <c r="W99" s="19">
        <v>0</v>
      </c>
      <c r="Y99" s="19"/>
      <c r="Z99" s="19"/>
      <c r="AA99" s="19"/>
      <c r="AB99" s="19">
        <v>0</v>
      </c>
    </row>
    <row r="100" spans="2:28" x14ac:dyDescent="0.25">
      <c r="B100" s="13" t="s">
        <v>151</v>
      </c>
      <c r="D100" s="13" t="s">
        <v>64</v>
      </c>
      <c r="E100" s="13" t="s">
        <v>141</v>
      </c>
      <c r="F100" s="19">
        <v>1</v>
      </c>
      <c r="G100" s="19"/>
      <c r="H100" s="19">
        <v>1</v>
      </c>
      <c r="I100" s="19"/>
      <c r="J100" s="19">
        <v>2</v>
      </c>
      <c r="K100" s="15">
        <v>6.62</v>
      </c>
      <c r="L100" s="15">
        <v>0.40050000000000002</v>
      </c>
      <c r="M100" s="15">
        <f t="shared" si="2"/>
        <v>4.9937578027465666</v>
      </c>
      <c r="N100" s="15">
        <v>0.30211480362537763</v>
      </c>
      <c r="P100" s="19">
        <v>1</v>
      </c>
      <c r="Q100" s="19"/>
      <c r="R100" s="19"/>
      <c r="S100" s="19">
        <v>1</v>
      </c>
      <c r="T100" s="50"/>
      <c r="U100" s="19"/>
      <c r="V100" s="19"/>
      <c r="W100" s="19">
        <v>2</v>
      </c>
      <c r="Y100" s="19">
        <v>2</v>
      </c>
      <c r="Z100" s="19"/>
      <c r="AA100" s="19"/>
      <c r="AB100" s="19">
        <v>2</v>
      </c>
    </row>
    <row r="101" spans="2:28" x14ac:dyDescent="0.25">
      <c r="B101" s="13" t="s">
        <v>151</v>
      </c>
      <c r="D101" s="13" t="s">
        <v>64</v>
      </c>
      <c r="E101" s="13" t="s">
        <v>142</v>
      </c>
      <c r="F101" s="19"/>
      <c r="G101" s="19"/>
      <c r="H101" s="19">
        <v>1</v>
      </c>
      <c r="I101" s="19"/>
      <c r="J101" s="19">
        <v>1</v>
      </c>
      <c r="K101" s="15">
        <v>4.55</v>
      </c>
      <c r="L101" s="15">
        <v>0.26400000000000001</v>
      </c>
      <c r="M101" s="15">
        <f t="shared" si="2"/>
        <v>3.7878787878787876</v>
      </c>
      <c r="N101" s="15">
        <v>0.21978021978021978</v>
      </c>
      <c r="P101" s="19">
        <v>1</v>
      </c>
      <c r="Q101" s="19"/>
      <c r="R101" s="19"/>
      <c r="S101" s="19"/>
      <c r="T101" s="50"/>
      <c r="U101" s="19"/>
      <c r="V101" s="19"/>
      <c r="W101" s="19">
        <v>1</v>
      </c>
      <c r="Y101" s="19"/>
      <c r="Z101" s="19">
        <v>1</v>
      </c>
      <c r="AA101" s="19"/>
      <c r="AB101" s="19">
        <v>1</v>
      </c>
    </row>
    <row r="102" spans="2:28" x14ac:dyDescent="0.25">
      <c r="B102" s="13" t="s">
        <v>151</v>
      </c>
      <c r="D102" s="13" t="s">
        <v>64</v>
      </c>
      <c r="E102" s="13" t="s">
        <v>143</v>
      </c>
      <c r="F102" s="19"/>
      <c r="G102" s="19"/>
      <c r="H102" s="19">
        <v>1</v>
      </c>
      <c r="I102" s="19"/>
      <c r="J102" s="19">
        <v>1</v>
      </c>
      <c r="K102" s="15">
        <v>9.1999999999999993</v>
      </c>
      <c r="L102" s="15">
        <v>0.59560000000000002</v>
      </c>
      <c r="M102" s="15">
        <f t="shared" si="2"/>
        <v>1.6789791806581598</v>
      </c>
      <c r="N102" s="15">
        <v>0.10869565217391305</v>
      </c>
      <c r="P102" s="19"/>
      <c r="Q102" s="19">
        <v>1</v>
      </c>
      <c r="R102" s="19"/>
      <c r="S102" s="19"/>
      <c r="T102" s="50"/>
      <c r="U102" s="19"/>
      <c r="V102" s="19"/>
      <c r="W102" s="19">
        <v>1</v>
      </c>
      <c r="Y102" s="19"/>
      <c r="Z102" s="19"/>
      <c r="AA102" s="19">
        <v>1</v>
      </c>
      <c r="AB102" s="19">
        <v>1</v>
      </c>
    </row>
    <row r="103" spans="2:28" x14ac:dyDescent="0.25">
      <c r="B103" s="13" t="s">
        <v>151</v>
      </c>
      <c r="D103" s="13" t="s">
        <v>64</v>
      </c>
      <c r="E103" s="13" t="s">
        <v>144</v>
      </c>
      <c r="F103" s="19"/>
      <c r="G103" s="19"/>
      <c r="H103" s="19"/>
      <c r="I103" s="19"/>
      <c r="J103" s="19">
        <v>0</v>
      </c>
      <c r="K103" s="15">
        <v>9.4499999999999993</v>
      </c>
      <c r="L103" s="15">
        <v>0.4556</v>
      </c>
      <c r="M103" s="15">
        <f t="shared" si="2"/>
        <v>0</v>
      </c>
      <c r="N103" s="15">
        <v>0</v>
      </c>
      <c r="P103" s="19"/>
      <c r="Q103" s="19"/>
      <c r="R103" s="19"/>
      <c r="S103" s="19"/>
      <c r="T103" s="50"/>
      <c r="U103" s="19"/>
      <c r="V103" s="19"/>
      <c r="W103" s="19">
        <v>0</v>
      </c>
      <c r="Y103" s="19"/>
      <c r="Z103" s="19"/>
      <c r="AA103" s="19"/>
      <c r="AB103" s="19">
        <v>0</v>
      </c>
    </row>
    <row r="104" spans="2:28" x14ac:dyDescent="0.25">
      <c r="B104" s="13" t="s">
        <v>151</v>
      </c>
      <c r="D104" s="13" t="s">
        <v>64</v>
      </c>
      <c r="E104" s="13" t="s">
        <v>145</v>
      </c>
      <c r="F104" s="19">
        <v>3</v>
      </c>
      <c r="G104" s="19"/>
      <c r="H104" s="19"/>
      <c r="I104" s="19"/>
      <c r="J104" s="19">
        <v>3</v>
      </c>
      <c r="K104" s="15">
        <v>6.79</v>
      </c>
      <c r="L104" s="15">
        <v>0.37259999999999999</v>
      </c>
      <c r="M104" s="15">
        <f t="shared" si="2"/>
        <v>8.0515297906602257</v>
      </c>
      <c r="N104" s="15">
        <v>0.4418262150220913</v>
      </c>
      <c r="P104" s="19">
        <v>1</v>
      </c>
      <c r="Q104" s="19">
        <v>2</v>
      </c>
      <c r="R104" s="19"/>
      <c r="S104" s="19"/>
      <c r="T104" s="50"/>
      <c r="U104" s="19"/>
      <c r="V104" s="19"/>
      <c r="W104" s="19">
        <v>3</v>
      </c>
      <c r="Y104" s="19">
        <v>3</v>
      </c>
      <c r="Z104" s="19"/>
      <c r="AA104" s="19"/>
      <c r="AB104" s="19">
        <v>3</v>
      </c>
    </row>
    <row r="105" spans="2:28" x14ac:dyDescent="0.25">
      <c r="B105" s="13" t="s">
        <v>151</v>
      </c>
      <c r="D105" s="13" t="s">
        <v>64</v>
      </c>
      <c r="E105" s="13" t="s">
        <v>146</v>
      </c>
      <c r="F105" s="19">
        <v>1</v>
      </c>
      <c r="G105" s="19"/>
      <c r="H105" s="19">
        <v>1</v>
      </c>
      <c r="I105" s="19"/>
      <c r="J105" s="19">
        <v>2</v>
      </c>
      <c r="K105" s="15">
        <v>8.02</v>
      </c>
      <c r="L105" s="15">
        <v>0.47699999999999998</v>
      </c>
      <c r="M105" s="15">
        <f>J105/L105</f>
        <v>4.1928721174004195</v>
      </c>
      <c r="N105" s="15">
        <v>0.24937655860349128</v>
      </c>
      <c r="P105" s="19">
        <v>1</v>
      </c>
      <c r="Q105" s="19">
        <v>1</v>
      </c>
      <c r="R105" s="19"/>
      <c r="S105" s="19"/>
      <c r="T105" s="50"/>
      <c r="U105" s="19"/>
      <c r="V105" s="19"/>
      <c r="W105" s="19">
        <v>2</v>
      </c>
      <c r="Y105" s="19">
        <v>2</v>
      </c>
      <c r="Z105" s="19"/>
      <c r="AA105" s="19"/>
      <c r="AB105" s="19">
        <v>2</v>
      </c>
    </row>
    <row r="106" spans="2:28" x14ac:dyDescent="0.25">
      <c r="B106" s="13" t="s">
        <v>151</v>
      </c>
      <c r="D106" s="13" t="s">
        <v>64</v>
      </c>
      <c r="E106" s="13" t="s">
        <v>147</v>
      </c>
      <c r="F106" s="19"/>
      <c r="G106" s="19"/>
      <c r="H106" s="19"/>
      <c r="I106" s="19">
        <v>1</v>
      </c>
      <c r="J106" s="19">
        <v>1</v>
      </c>
      <c r="K106" s="15">
        <v>6.76</v>
      </c>
      <c r="L106" s="53">
        <v>0.32990000000000003</v>
      </c>
      <c r="M106" s="15">
        <f t="shared" si="2"/>
        <v>3.0312215822976656</v>
      </c>
      <c r="N106" s="15">
        <v>0.14792899408284024</v>
      </c>
      <c r="P106" s="19"/>
      <c r="Q106" s="19"/>
      <c r="R106" s="19"/>
      <c r="S106" s="19">
        <v>1</v>
      </c>
      <c r="T106" s="50"/>
      <c r="U106" s="19"/>
      <c r="V106" s="19"/>
      <c r="W106" s="19">
        <v>1</v>
      </c>
      <c r="Y106" s="19">
        <v>1</v>
      </c>
      <c r="Z106" s="19"/>
      <c r="AA106" s="19"/>
      <c r="AB106" s="19">
        <v>1</v>
      </c>
    </row>
    <row r="107" spans="2:28" x14ac:dyDescent="0.25">
      <c r="B107" s="13" t="s">
        <v>151</v>
      </c>
      <c r="D107" s="13" t="s">
        <v>64</v>
      </c>
      <c r="E107" s="13" t="s">
        <v>148</v>
      </c>
      <c r="F107" s="19"/>
      <c r="G107" s="19"/>
      <c r="H107" s="19"/>
      <c r="I107" s="19"/>
      <c r="J107" s="19">
        <v>0</v>
      </c>
      <c r="K107" s="15">
        <v>7.02</v>
      </c>
      <c r="L107" s="15">
        <v>0.38090000000000002</v>
      </c>
      <c r="M107" s="15">
        <f t="shared" si="2"/>
        <v>0</v>
      </c>
      <c r="N107" s="15">
        <v>0</v>
      </c>
      <c r="P107" s="19"/>
      <c r="Q107" s="19"/>
      <c r="R107" s="19"/>
      <c r="S107" s="19"/>
      <c r="T107" s="50"/>
      <c r="U107" s="19"/>
      <c r="V107" s="19"/>
      <c r="W107" s="19">
        <v>0</v>
      </c>
      <c r="Y107" s="19"/>
      <c r="Z107" s="19"/>
      <c r="AA107" s="19"/>
      <c r="AB107" s="19">
        <v>0</v>
      </c>
    </row>
    <row r="108" spans="2:28" x14ac:dyDescent="0.25">
      <c r="B108" s="14"/>
      <c r="C108" s="14"/>
      <c r="D108" s="14"/>
      <c r="E108" s="14"/>
      <c r="F108" s="21">
        <v>25</v>
      </c>
      <c r="G108" s="21">
        <v>0</v>
      </c>
      <c r="H108" s="21">
        <v>31</v>
      </c>
      <c r="I108" s="21">
        <v>4</v>
      </c>
      <c r="J108" s="21">
        <v>60</v>
      </c>
      <c r="K108" s="21"/>
      <c r="L108" s="21"/>
      <c r="M108" s="21"/>
      <c r="N108" s="18">
        <v>8.52</v>
      </c>
      <c r="P108" s="21">
        <v>9</v>
      </c>
      <c r="Q108" s="21">
        <v>13</v>
      </c>
      <c r="R108" s="21">
        <v>11</v>
      </c>
      <c r="S108" s="21">
        <v>21</v>
      </c>
      <c r="T108" s="21">
        <v>6</v>
      </c>
      <c r="U108" s="21">
        <v>0</v>
      </c>
      <c r="V108" s="21">
        <v>0</v>
      </c>
      <c r="W108" s="21">
        <v>60</v>
      </c>
      <c r="Y108" s="21">
        <v>38</v>
      </c>
      <c r="Z108" s="21">
        <v>17</v>
      </c>
      <c r="AA108" s="21">
        <v>5</v>
      </c>
      <c r="AB108" s="21">
        <v>60</v>
      </c>
    </row>
    <row r="112" spans="2:28" x14ac:dyDescent="0.25">
      <c r="H112" s="27" t="s">
        <v>152</v>
      </c>
      <c r="I112" s="26">
        <v>163</v>
      </c>
    </row>
    <row r="119" spans="12:17" x14ac:dyDescent="0.25">
      <c r="L119" s="13" t="s">
        <v>375</v>
      </c>
      <c r="M119" s="71" t="s">
        <v>374</v>
      </c>
      <c r="N119" s="71" t="s">
        <v>376</v>
      </c>
      <c r="O119" s="13" t="s">
        <v>64</v>
      </c>
      <c r="P119" s="13" t="s">
        <v>377</v>
      </c>
      <c r="Q119" s="13" t="s">
        <v>378</v>
      </c>
    </row>
    <row r="120" spans="12:17" x14ac:dyDescent="0.25">
      <c r="M120" s="7" t="s">
        <v>323</v>
      </c>
      <c r="N120" s="72">
        <v>139.4</v>
      </c>
      <c r="O120" s="72">
        <v>434.6</v>
      </c>
      <c r="P120" s="51">
        <f>N120/1000</f>
        <v>0.1394</v>
      </c>
      <c r="Q120" s="51">
        <f>O120/1000</f>
        <v>0.43460000000000004</v>
      </c>
    </row>
    <row r="121" spans="12:17" x14ac:dyDescent="0.25">
      <c r="M121" s="7" t="s">
        <v>323</v>
      </c>
      <c r="N121" s="72">
        <v>294.5</v>
      </c>
      <c r="O121" s="72">
        <v>750.9</v>
      </c>
      <c r="P121" s="51">
        <f t="shared" ref="P121:P159" si="3">N121/1000</f>
        <v>0.29449999999999998</v>
      </c>
      <c r="Q121" s="51">
        <f>O121/1000</f>
        <v>0.75090000000000001</v>
      </c>
    </row>
    <row r="122" spans="12:17" x14ac:dyDescent="0.25">
      <c r="M122" s="7" t="s">
        <v>323</v>
      </c>
      <c r="N122" s="72">
        <v>189.1</v>
      </c>
      <c r="O122" s="72">
        <v>293.89999999999998</v>
      </c>
      <c r="P122" s="51">
        <f t="shared" si="3"/>
        <v>0.18909999999999999</v>
      </c>
      <c r="Q122" s="51">
        <f>O122/1000</f>
        <v>0.29389999999999999</v>
      </c>
    </row>
    <row r="123" spans="12:17" x14ac:dyDescent="0.25">
      <c r="M123" s="7" t="s">
        <v>323</v>
      </c>
      <c r="N123" s="72">
        <v>245.8</v>
      </c>
      <c r="O123" s="72">
        <v>377.5</v>
      </c>
      <c r="P123" s="51">
        <f t="shared" si="3"/>
        <v>0.24580000000000002</v>
      </c>
      <c r="Q123" s="51">
        <f>O123/1000</f>
        <v>0.3775</v>
      </c>
    </row>
    <row r="124" spans="12:17" x14ac:dyDescent="0.25">
      <c r="M124" s="7" t="s">
        <v>323</v>
      </c>
      <c r="N124" s="72">
        <v>358</v>
      </c>
      <c r="O124" s="72">
        <v>882</v>
      </c>
      <c r="P124" s="51">
        <f t="shared" si="3"/>
        <v>0.35799999999999998</v>
      </c>
      <c r="Q124" s="51">
        <f>O124/1000</f>
        <v>0.88200000000000001</v>
      </c>
    </row>
    <row r="125" spans="12:17" x14ac:dyDescent="0.25">
      <c r="M125" s="7" t="s">
        <v>323</v>
      </c>
      <c r="N125" s="72">
        <v>254.8</v>
      </c>
      <c r="O125" s="72">
        <v>424.6</v>
      </c>
      <c r="P125" s="51">
        <f t="shared" si="3"/>
        <v>0.25480000000000003</v>
      </c>
      <c r="Q125" s="51">
        <f>O125/1000</f>
        <v>0.42460000000000003</v>
      </c>
    </row>
    <row r="126" spans="12:17" x14ac:dyDescent="0.25">
      <c r="M126" s="7" t="s">
        <v>323</v>
      </c>
      <c r="N126" s="72">
        <v>291.10000000000002</v>
      </c>
      <c r="O126" s="72">
        <v>421.2</v>
      </c>
      <c r="P126" s="51">
        <f t="shared" si="3"/>
        <v>0.29110000000000003</v>
      </c>
      <c r="Q126" s="51">
        <f>O126/1000</f>
        <v>0.42119999999999996</v>
      </c>
    </row>
    <row r="127" spans="12:17" x14ac:dyDescent="0.25">
      <c r="M127" s="7" t="s">
        <v>323</v>
      </c>
      <c r="N127" s="72">
        <v>310.39999999999998</v>
      </c>
      <c r="O127" s="72">
        <v>540.20000000000005</v>
      </c>
      <c r="P127" s="51">
        <f t="shared" si="3"/>
        <v>0.31039999999999995</v>
      </c>
      <c r="Q127" s="51">
        <f>O127/1000</f>
        <v>0.54020000000000001</v>
      </c>
    </row>
    <row r="128" spans="12:17" x14ac:dyDescent="0.25">
      <c r="M128" s="7" t="s">
        <v>323</v>
      </c>
      <c r="N128" s="72">
        <v>255.3</v>
      </c>
      <c r="O128" s="72">
        <v>351.8</v>
      </c>
      <c r="P128" s="51">
        <f t="shared" si="3"/>
        <v>0.25530000000000003</v>
      </c>
      <c r="Q128" s="51">
        <f>O128/1000</f>
        <v>0.3518</v>
      </c>
    </row>
    <row r="129" spans="13:17" x14ac:dyDescent="0.25">
      <c r="M129" s="7" t="s">
        <v>323</v>
      </c>
      <c r="N129" s="72">
        <v>232.1</v>
      </c>
      <c r="O129" s="72">
        <v>370.1</v>
      </c>
      <c r="P129" s="51">
        <f t="shared" si="3"/>
        <v>0.2321</v>
      </c>
      <c r="Q129" s="51">
        <f>O129/1000</f>
        <v>0.37010000000000004</v>
      </c>
    </row>
    <row r="130" spans="13:17" x14ac:dyDescent="0.25">
      <c r="M130" s="7" t="s">
        <v>323</v>
      </c>
      <c r="N130" s="72">
        <v>135.80000000000001</v>
      </c>
      <c r="O130" s="72">
        <v>286.10000000000002</v>
      </c>
      <c r="P130" s="51">
        <f t="shared" si="3"/>
        <v>0.1358</v>
      </c>
      <c r="Q130" s="51">
        <f>O130/1000</f>
        <v>0.28610000000000002</v>
      </c>
    </row>
    <row r="131" spans="13:17" x14ac:dyDescent="0.25">
      <c r="M131" s="7" t="s">
        <v>323</v>
      </c>
      <c r="N131" s="72">
        <v>214.4</v>
      </c>
      <c r="O131" s="72">
        <v>390.5</v>
      </c>
      <c r="P131" s="51">
        <f t="shared" si="3"/>
        <v>0.21440000000000001</v>
      </c>
      <c r="Q131" s="51">
        <f>O131/1000</f>
        <v>0.39050000000000001</v>
      </c>
    </row>
    <row r="132" spans="13:17" x14ac:dyDescent="0.25">
      <c r="M132" s="7" t="s">
        <v>323</v>
      </c>
      <c r="N132" s="72">
        <v>206.9</v>
      </c>
      <c r="O132" s="72">
        <v>400.5</v>
      </c>
      <c r="P132" s="51">
        <f t="shared" si="3"/>
        <v>0.2069</v>
      </c>
      <c r="Q132" s="51">
        <f>O132/1000</f>
        <v>0.40050000000000002</v>
      </c>
    </row>
    <row r="133" spans="13:17" x14ac:dyDescent="0.25">
      <c r="M133" s="7" t="s">
        <v>323</v>
      </c>
      <c r="N133" s="72">
        <v>140.30000000000001</v>
      </c>
      <c r="O133" s="72">
        <v>264</v>
      </c>
      <c r="P133" s="51">
        <f t="shared" si="3"/>
        <v>0.14030000000000001</v>
      </c>
      <c r="Q133" s="51">
        <f>O133/1000</f>
        <v>0.26400000000000001</v>
      </c>
    </row>
    <row r="134" spans="13:17" x14ac:dyDescent="0.25">
      <c r="M134" s="7" t="s">
        <v>323</v>
      </c>
      <c r="N134" s="72">
        <v>250.1</v>
      </c>
      <c r="O134" s="72">
        <v>595.6</v>
      </c>
      <c r="P134" s="51">
        <f t="shared" si="3"/>
        <v>0.25009999999999999</v>
      </c>
      <c r="Q134" s="51">
        <f>O134/1000</f>
        <v>0.59560000000000002</v>
      </c>
    </row>
    <row r="135" spans="13:17" x14ac:dyDescent="0.25">
      <c r="M135" s="7" t="s">
        <v>323</v>
      </c>
      <c r="N135" s="72">
        <v>293.39999999999998</v>
      </c>
      <c r="O135" s="72">
        <v>455.6</v>
      </c>
      <c r="P135" s="51">
        <f t="shared" si="3"/>
        <v>0.29339999999999999</v>
      </c>
      <c r="Q135" s="51">
        <f>O135/1000</f>
        <v>0.4556</v>
      </c>
    </row>
    <row r="136" spans="13:17" x14ac:dyDescent="0.25">
      <c r="M136" s="7" t="s">
        <v>323</v>
      </c>
      <c r="N136" s="72">
        <v>198.3</v>
      </c>
      <c r="O136" s="72">
        <v>372.6</v>
      </c>
      <c r="P136" s="51">
        <f t="shared" si="3"/>
        <v>0.1983</v>
      </c>
      <c r="Q136" s="51">
        <f>O136/1000</f>
        <v>0.37260000000000004</v>
      </c>
    </row>
    <row r="137" spans="13:17" x14ac:dyDescent="0.25">
      <c r="M137" s="7" t="s">
        <v>323</v>
      </c>
      <c r="N137" s="72">
        <v>242.9</v>
      </c>
      <c r="O137" s="72">
        <v>477</v>
      </c>
      <c r="P137" s="51">
        <f t="shared" si="3"/>
        <v>0.2429</v>
      </c>
      <c r="Q137" s="51">
        <f>O137/1000</f>
        <v>0.47699999999999998</v>
      </c>
    </row>
    <row r="138" spans="13:17" x14ac:dyDescent="0.25">
      <c r="M138" s="7" t="s">
        <v>323</v>
      </c>
      <c r="N138" s="72">
        <v>183.1</v>
      </c>
      <c r="O138" s="72">
        <v>329.9</v>
      </c>
      <c r="P138" s="51">
        <f t="shared" si="3"/>
        <v>0.18309999999999998</v>
      </c>
      <c r="Q138" s="51">
        <f>O138/1000</f>
        <v>0.32989999999999997</v>
      </c>
    </row>
    <row r="139" spans="13:17" x14ac:dyDescent="0.25">
      <c r="M139" s="7" t="s">
        <v>323</v>
      </c>
      <c r="N139" s="72">
        <v>172.9</v>
      </c>
      <c r="O139" s="72">
        <v>380.9</v>
      </c>
      <c r="P139" s="51">
        <f t="shared" si="3"/>
        <v>0.1729</v>
      </c>
      <c r="Q139" s="51">
        <f>O139/1000</f>
        <v>0.38089999999999996</v>
      </c>
    </row>
    <row r="140" spans="13:17" x14ac:dyDescent="0.25">
      <c r="M140" s="7" t="s">
        <v>64</v>
      </c>
    </row>
    <row r="141" spans="13:17" x14ac:dyDescent="0.25">
      <c r="M141" s="7" t="s">
        <v>64</v>
      </c>
    </row>
    <row r="142" spans="13:17" x14ac:dyDescent="0.25">
      <c r="M142" s="7" t="s">
        <v>64</v>
      </c>
    </row>
    <row r="143" spans="13:17" x14ac:dyDescent="0.25">
      <c r="M143" s="7" t="s">
        <v>64</v>
      </c>
    </row>
    <row r="144" spans="13:17" x14ac:dyDescent="0.25">
      <c r="M144" s="7" t="s">
        <v>64</v>
      </c>
    </row>
    <row r="145" spans="13:13" x14ac:dyDescent="0.25">
      <c r="M145" s="7" t="s">
        <v>64</v>
      </c>
    </row>
    <row r="146" spans="13:13" x14ac:dyDescent="0.25">
      <c r="M146" s="7" t="s">
        <v>64</v>
      </c>
    </row>
    <row r="147" spans="13:13" x14ac:dyDescent="0.25">
      <c r="M147" s="7" t="s">
        <v>64</v>
      </c>
    </row>
    <row r="148" spans="13:13" x14ac:dyDescent="0.25">
      <c r="M148" s="7" t="s">
        <v>64</v>
      </c>
    </row>
    <row r="149" spans="13:13" x14ac:dyDescent="0.25">
      <c r="M149" s="7" t="s">
        <v>64</v>
      </c>
    </row>
    <row r="150" spans="13:13" x14ac:dyDescent="0.25">
      <c r="M150" s="7" t="s">
        <v>64</v>
      </c>
    </row>
    <row r="151" spans="13:13" x14ac:dyDescent="0.25">
      <c r="M151" s="7" t="s">
        <v>64</v>
      </c>
    </row>
    <row r="152" spans="13:13" x14ac:dyDescent="0.25">
      <c r="M152" s="7" t="s">
        <v>64</v>
      </c>
    </row>
    <row r="153" spans="13:13" x14ac:dyDescent="0.25">
      <c r="M153" s="7" t="s">
        <v>64</v>
      </c>
    </row>
    <row r="154" spans="13:13" x14ac:dyDescent="0.25">
      <c r="M154" s="7" t="s">
        <v>64</v>
      </c>
    </row>
    <row r="155" spans="13:13" x14ac:dyDescent="0.25">
      <c r="M155" s="7" t="s">
        <v>64</v>
      </c>
    </row>
    <row r="156" spans="13:13" x14ac:dyDescent="0.25">
      <c r="M156" s="7" t="s">
        <v>64</v>
      </c>
    </row>
    <row r="157" spans="13:13" x14ac:dyDescent="0.25">
      <c r="M157" s="7" t="s">
        <v>64</v>
      </c>
    </row>
    <row r="158" spans="13:13" x14ac:dyDescent="0.25">
      <c r="M158" s="7" t="s">
        <v>64</v>
      </c>
    </row>
    <row r="159" spans="13:13" x14ac:dyDescent="0.25">
      <c r="M159" s="7" t="s">
        <v>64</v>
      </c>
    </row>
  </sheetData>
  <mergeCells count="4">
    <mergeCell ref="B4:N4"/>
    <mergeCell ref="P4:W4"/>
    <mergeCell ref="Y3:AB3"/>
    <mergeCell ref="AB4:AB5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4718-CF84-4EE7-BFB4-FA4EBEA898CA}">
  <dimension ref="B2:AD27"/>
  <sheetViews>
    <sheetView zoomScale="70" zoomScaleNormal="70" workbookViewId="0">
      <selection activeCell="AB24" sqref="AB24"/>
    </sheetView>
  </sheetViews>
  <sheetFormatPr defaultColWidth="8.85546875" defaultRowHeight="15" x14ac:dyDescent="0.25"/>
  <cols>
    <col min="1" max="1" width="8.85546875" style="15"/>
    <col min="2" max="2" width="11" style="15" bestFit="1" customWidth="1"/>
    <col min="3" max="3" width="14.5703125" style="15" bestFit="1" customWidth="1"/>
    <col min="4" max="4" width="10.85546875" style="15" customWidth="1"/>
    <col min="5" max="5" width="17.28515625" style="15" bestFit="1" customWidth="1"/>
    <col min="6" max="6" width="8.85546875" style="15"/>
    <col min="7" max="7" width="20.140625" style="15" bestFit="1" customWidth="1"/>
    <col min="8" max="9" width="8.85546875" style="15"/>
    <col min="10" max="10" width="11" style="15" bestFit="1" customWidth="1"/>
    <col min="11" max="11" width="14.5703125" style="15" bestFit="1" customWidth="1"/>
    <col min="12" max="12" width="8.85546875" style="15"/>
    <col min="13" max="13" width="17.28515625" style="15" bestFit="1" customWidth="1"/>
    <col min="14" max="14" width="8.85546875" style="15"/>
    <col min="15" max="15" width="20.140625" style="15" bestFit="1" customWidth="1"/>
    <col min="16" max="17" width="8.85546875" style="15"/>
    <col min="18" max="18" width="11.42578125" style="15" bestFit="1" customWidth="1"/>
    <col min="19" max="19" width="14.5703125" style="15" bestFit="1" customWidth="1"/>
    <col min="20" max="20" width="8.85546875" style="15"/>
    <col min="21" max="21" width="17.28515625" style="15" bestFit="1" customWidth="1"/>
    <col min="22" max="22" width="8.85546875" style="15"/>
    <col min="23" max="23" width="20.140625" style="15" bestFit="1" customWidth="1"/>
    <col min="24" max="16384" width="8.85546875" style="15"/>
  </cols>
  <sheetData>
    <row r="2" spans="2:24" x14ac:dyDescent="0.25">
      <c r="B2" s="61" t="s">
        <v>149</v>
      </c>
      <c r="C2" s="61"/>
      <c r="D2" s="61"/>
      <c r="E2" s="61"/>
      <c r="F2" s="61"/>
      <c r="G2" s="61"/>
      <c r="H2" s="61"/>
      <c r="J2" s="61" t="s">
        <v>150</v>
      </c>
      <c r="K2" s="61"/>
      <c r="L2" s="61"/>
      <c r="M2" s="61"/>
      <c r="N2" s="61"/>
      <c r="O2" s="61"/>
      <c r="P2" s="61"/>
      <c r="R2" s="61" t="s">
        <v>151</v>
      </c>
      <c r="S2" s="61"/>
      <c r="T2" s="61"/>
      <c r="U2" s="61"/>
      <c r="V2" s="61"/>
      <c r="W2" s="61"/>
      <c r="X2" s="61"/>
    </row>
    <row r="3" spans="2:24" x14ac:dyDescent="0.25">
      <c r="B3" s="35" t="s">
        <v>153</v>
      </c>
      <c r="C3" s="60" t="s">
        <v>154</v>
      </c>
      <c r="D3" s="60"/>
      <c r="E3" s="60" t="s">
        <v>155</v>
      </c>
      <c r="F3" s="60"/>
      <c r="G3" s="60" t="s">
        <v>156</v>
      </c>
      <c r="H3" s="60"/>
      <c r="J3" s="35" t="s">
        <v>153</v>
      </c>
      <c r="K3" s="60" t="s">
        <v>154</v>
      </c>
      <c r="L3" s="60"/>
      <c r="M3" s="60" t="s">
        <v>155</v>
      </c>
      <c r="N3" s="60"/>
      <c r="O3" s="60" t="s">
        <v>156</v>
      </c>
      <c r="P3" s="60"/>
      <c r="R3" s="35" t="s">
        <v>153</v>
      </c>
      <c r="S3" s="60" t="s">
        <v>154</v>
      </c>
      <c r="T3" s="60"/>
      <c r="U3" s="60" t="s">
        <v>155</v>
      </c>
      <c r="V3" s="60"/>
      <c r="W3" s="60" t="s">
        <v>156</v>
      </c>
      <c r="X3" s="60"/>
    </row>
    <row r="4" spans="2:24" x14ac:dyDescent="0.25">
      <c r="B4" s="36"/>
      <c r="C4" s="36" t="s">
        <v>157</v>
      </c>
      <c r="D4" s="36" t="s">
        <v>64</v>
      </c>
      <c r="E4" s="36" t="s">
        <v>157</v>
      </c>
      <c r="F4" s="36" t="s">
        <v>64</v>
      </c>
      <c r="G4" s="36" t="s">
        <v>157</v>
      </c>
      <c r="H4" s="36" t="s">
        <v>64</v>
      </c>
      <c r="J4" s="36"/>
      <c r="K4" s="36" t="s">
        <v>157</v>
      </c>
      <c r="L4" s="36" t="s">
        <v>64</v>
      </c>
      <c r="M4" s="36" t="s">
        <v>157</v>
      </c>
      <c r="N4" s="36" t="s">
        <v>64</v>
      </c>
      <c r="O4" s="36" t="s">
        <v>157</v>
      </c>
      <c r="P4" s="36" t="s">
        <v>64</v>
      </c>
      <c r="R4" s="36"/>
      <c r="S4" s="36" t="s">
        <v>157</v>
      </c>
      <c r="T4" s="36" t="s">
        <v>64</v>
      </c>
      <c r="U4" s="36" t="s">
        <v>157</v>
      </c>
      <c r="V4" s="36" t="s">
        <v>64</v>
      </c>
      <c r="W4" s="36" t="s">
        <v>157</v>
      </c>
      <c r="X4" s="36" t="s">
        <v>64</v>
      </c>
    </row>
    <row r="5" spans="2:24" x14ac:dyDescent="0.25">
      <c r="B5" s="15" t="s">
        <v>158</v>
      </c>
      <c r="C5" s="15">
        <v>7</v>
      </c>
      <c r="D5" s="15">
        <v>2</v>
      </c>
      <c r="E5" s="15">
        <v>0.22670000000000001</v>
      </c>
      <c r="F5" s="15">
        <v>0.52939999999999998</v>
      </c>
      <c r="G5" s="15">
        <v>30.877812086457872</v>
      </c>
      <c r="H5" s="15">
        <v>3.7778617302606725</v>
      </c>
      <c r="J5" s="15" t="s">
        <v>158</v>
      </c>
      <c r="K5" s="15">
        <v>2</v>
      </c>
      <c r="L5" s="15">
        <v>3</v>
      </c>
      <c r="M5" s="15">
        <v>0.23019999999999999</v>
      </c>
      <c r="N5" s="15">
        <v>0.43049999999999999</v>
      </c>
      <c r="O5" s="15">
        <v>8.6880973066898353</v>
      </c>
      <c r="P5" s="15">
        <v>6.9686411149825789</v>
      </c>
      <c r="R5" s="15" t="s">
        <v>158</v>
      </c>
      <c r="S5" s="15">
        <v>0</v>
      </c>
      <c r="T5" s="15">
        <v>12</v>
      </c>
      <c r="U5" s="15">
        <v>0.1394</v>
      </c>
      <c r="V5" s="15">
        <v>0.43459999999999999</v>
      </c>
      <c r="W5" s="15">
        <v>0</v>
      </c>
      <c r="X5" s="15">
        <v>0</v>
      </c>
    </row>
    <row r="6" spans="2:24" x14ac:dyDescent="0.25">
      <c r="B6" s="15" t="s">
        <v>159</v>
      </c>
      <c r="C6" s="15">
        <v>5</v>
      </c>
      <c r="D6" s="15">
        <v>0</v>
      </c>
      <c r="E6" s="15">
        <v>0.12089999999999999</v>
      </c>
      <c r="F6" s="15">
        <v>0.33629999999999999</v>
      </c>
      <c r="G6" s="15">
        <v>41.3564929693962</v>
      </c>
      <c r="H6" s="15">
        <v>0</v>
      </c>
      <c r="J6" s="15" t="s">
        <v>159</v>
      </c>
      <c r="K6" s="15">
        <v>1</v>
      </c>
      <c r="L6" s="15">
        <v>7</v>
      </c>
      <c r="M6" s="15">
        <v>0.1205</v>
      </c>
      <c r="N6" s="15">
        <v>0.32519999999999999</v>
      </c>
      <c r="O6" s="15">
        <v>8.2987551867219924</v>
      </c>
      <c r="P6" s="15">
        <v>21.525215252152524</v>
      </c>
      <c r="R6" s="15" t="s">
        <v>159</v>
      </c>
      <c r="S6" s="15">
        <v>0</v>
      </c>
      <c r="T6" s="15">
        <v>4</v>
      </c>
      <c r="U6" s="15">
        <v>0.29449999999999998</v>
      </c>
      <c r="V6" s="15">
        <v>0.75090000000000001</v>
      </c>
      <c r="W6" s="15">
        <v>0</v>
      </c>
      <c r="X6" s="15">
        <v>0</v>
      </c>
    </row>
    <row r="7" spans="2:24" x14ac:dyDescent="0.25">
      <c r="B7" s="15" t="s">
        <v>160</v>
      </c>
      <c r="C7" s="15">
        <v>3</v>
      </c>
      <c r="D7" s="15">
        <v>2</v>
      </c>
      <c r="E7" s="15">
        <v>0.11600000000000001</v>
      </c>
      <c r="F7" s="15">
        <v>0.39760000000000001</v>
      </c>
      <c r="G7" s="15">
        <v>25.862068965517238</v>
      </c>
      <c r="H7" s="15">
        <v>5.0301810865191143</v>
      </c>
      <c r="J7" s="15" t="s">
        <v>160</v>
      </c>
      <c r="K7" s="15">
        <v>4</v>
      </c>
      <c r="L7" s="15">
        <v>6</v>
      </c>
      <c r="M7" s="15">
        <v>0.37280000000000002</v>
      </c>
      <c r="N7" s="15">
        <v>0.57520000000000004</v>
      </c>
      <c r="O7" s="15">
        <v>10.729613733905579</v>
      </c>
      <c r="P7" s="15">
        <v>10.431154381084839</v>
      </c>
      <c r="R7" s="15" t="s">
        <v>160</v>
      </c>
      <c r="S7" s="15">
        <v>3</v>
      </c>
      <c r="T7" s="15">
        <v>0</v>
      </c>
      <c r="U7" s="15">
        <v>0.18909999999999999</v>
      </c>
      <c r="V7" s="15">
        <v>0.29389999999999999</v>
      </c>
      <c r="W7" s="15">
        <v>15.864621893178214</v>
      </c>
      <c r="X7" s="15">
        <v>15.864621893178214</v>
      </c>
    </row>
    <row r="8" spans="2:24" x14ac:dyDescent="0.25">
      <c r="B8" s="15" t="s">
        <v>161</v>
      </c>
      <c r="C8" s="15">
        <v>3</v>
      </c>
      <c r="D8" s="15">
        <v>1</v>
      </c>
      <c r="E8" s="15">
        <v>0.2175</v>
      </c>
      <c r="F8" s="15">
        <v>0.43769999999999998</v>
      </c>
      <c r="G8" s="15">
        <v>13.793103448275863</v>
      </c>
      <c r="H8" s="15">
        <v>2.2846698652044779</v>
      </c>
      <c r="J8" s="15" t="s">
        <v>161</v>
      </c>
      <c r="K8" s="15">
        <v>3</v>
      </c>
      <c r="L8" s="15">
        <v>4</v>
      </c>
      <c r="M8" s="15">
        <v>0.17510000000000001</v>
      </c>
      <c r="N8" s="15">
        <v>0.3851</v>
      </c>
      <c r="O8" s="15">
        <v>17.133066818960593</v>
      </c>
      <c r="P8" s="15">
        <v>10.38691249026227</v>
      </c>
      <c r="R8" s="15" t="s">
        <v>161</v>
      </c>
      <c r="S8" s="15">
        <v>0</v>
      </c>
      <c r="T8" s="15">
        <v>0</v>
      </c>
      <c r="U8" s="15">
        <v>0.24579999999999999</v>
      </c>
      <c r="V8" s="15">
        <v>0.3775</v>
      </c>
      <c r="W8" s="15">
        <v>0</v>
      </c>
      <c r="X8" s="15">
        <v>0</v>
      </c>
    </row>
    <row r="9" spans="2:24" x14ac:dyDescent="0.25">
      <c r="B9" s="15" t="s">
        <v>162</v>
      </c>
      <c r="C9" s="15">
        <v>0</v>
      </c>
      <c r="D9" s="15">
        <v>2</v>
      </c>
      <c r="E9" s="15">
        <v>0.25700000000000001</v>
      </c>
      <c r="F9" s="15">
        <v>0.46660000000000001</v>
      </c>
      <c r="G9" s="15">
        <v>0</v>
      </c>
      <c r="H9" s="15">
        <v>4.2863266180882986</v>
      </c>
      <c r="J9" s="15" t="s">
        <v>162</v>
      </c>
      <c r="K9" s="15">
        <v>5</v>
      </c>
      <c r="L9" s="15">
        <v>5</v>
      </c>
      <c r="M9" s="15">
        <v>0.14099999999999999</v>
      </c>
      <c r="N9" s="15">
        <v>0.44800000000000001</v>
      </c>
      <c r="O9" s="15">
        <v>35.460992907801419</v>
      </c>
      <c r="P9" s="15">
        <v>11.160714285714285</v>
      </c>
      <c r="R9" s="15" t="s">
        <v>162</v>
      </c>
      <c r="S9" s="15">
        <v>2</v>
      </c>
      <c r="T9" s="15">
        <v>2</v>
      </c>
      <c r="U9" s="15">
        <v>0.35799999999999998</v>
      </c>
      <c r="V9" s="15">
        <v>0.88200000000000001</v>
      </c>
      <c r="W9" s="15">
        <v>5.5865921787709496</v>
      </c>
      <c r="X9" s="15">
        <v>5.5865921787709496</v>
      </c>
    </row>
    <row r="10" spans="2:24" x14ac:dyDescent="0.25">
      <c r="B10" s="15" t="s">
        <v>163</v>
      </c>
      <c r="C10" s="15">
        <v>0</v>
      </c>
      <c r="D10" s="15">
        <v>3</v>
      </c>
      <c r="E10" s="15">
        <v>0.17150000000000001</v>
      </c>
      <c r="F10" s="15">
        <v>0.3952</v>
      </c>
      <c r="G10" s="15">
        <v>0</v>
      </c>
      <c r="H10" s="15">
        <v>7.5910931174089074</v>
      </c>
      <c r="J10" s="15" t="s">
        <v>163</v>
      </c>
      <c r="K10" s="15">
        <v>3</v>
      </c>
      <c r="L10" s="15">
        <v>2</v>
      </c>
      <c r="M10" s="15">
        <v>0.1166</v>
      </c>
      <c r="N10" s="15">
        <v>0.45660000000000001</v>
      </c>
      <c r="O10" s="15">
        <v>25.728987993138936</v>
      </c>
      <c r="P10" s="15">
        <v>4.3802014892685062</v>
      </c>
      <c r="R10" s="15" t="s">
        <v>163</v>
      </c>
      <c r="S10" s="15">
        <v>0</v>
      </c>
      <c r="T10" s="15">
        <v>1</v>
      </c>
      <c r="U10" s="15">
        <v>0.25480000000000003</v>
      </c>
      <c r="V10" s="15">
        <v>0.42459999999999998</v>
      </c>
      <c r="W10" s="15">
        <v>0</v>
      </c>
      <c r="X10" s="15">
        <v>0</v>
      </c>
    </row>
    <row r="11" spans="2:24" x14ac:dyDescent="0.25">
      <c r="B11" s="15" t="s">
        <v>164</v>
      </c>
      <c r="C11" s="15">
        <v>0</v>
      </c>
      <c r="D11" s="15">
        <v>0</v>
      </c>
      <c r="E11" s="15">
        <v>0.1658</v>
      </c>
      <c r="F11" s="15">
        <v>0.3886</v>
      </c>
      <c r="G11" s="15">
        <v>0</v>
      </c>
      <c r="H11" s="15">
        <v>0</v>
      </c>
      <c r="J11" s="15" t="s">
        <v>164</v>
      </c>
      <c r="K11" s="15">
        <v>2</v>
      </c>
      <c r="L11" s="15">
        <v>0</v>
      </c>
      <c r="M11" s="15">
        <v>0.1328</v>
      </c>
      <c r="N11" s="15">
        <v>0.45279999999999998</v>
      </c>
      <c r="O11" s="15">
        <v>15.060240963855421</v>
      </c>
      <c r="P11" s="15">
        <v>0</v>
      </c>
      <c r="R11" s="15" t="s">
        <v>164</v>
      </c>
      <c r="S11" s="15">
        <v>0</v>
      </c>
      <c r="T11" s="15">
        <v>0</v>
      </c>
      <c r="U11" s="15">
        <v>0.29110000000000003</v>
      </c>
      <c r="V11" s="15">
        <v>0.42120000000000002</v>
      </c>
      <c r="W11" s="15">
        <v>0</v>
      </c>
      <c r="X11" s="15">
        <v>0</v>
      </c>
    </row>
    <row r="12" spans="2:24" x14ac:dyDescent="0.25">
      <c r="B12" s="15" t="s">
        <v>165</v>
      </c>
      <c r="C12" s="15">
        <v>0</v>
      </c>
      <c r="D12" s="15">
        <v>2</v>
      </c>
      <c r="E12" s="15">
        <v>0.36559999999999998</v>
      </c>
      <c r="F12" s="15">
        <v>0.65410000000000001</v>
      </c>
      <c r="G12" s="15">
        <v>0</v>
      </c>
      <c r="H12" s="15">
        <v>3.0576364470264483</v>
      </c>
      <c r="J12" s="15" t="s">
        <v>165</v>
      </c>
      <c r="K12" s="15">
        <v>2</v>
      </c>
      <c r="L12" s="15">
        <v>0</v>
      </c>
      <c r="M12" s="15">
        <v>0.1142</v>
      </c>
      <c r="N12" s="15">
        <v>0.49419999999999997</v>
      </c>
      <c r="O12" s="15">
        <v>17.513134851138354</v>
      </c>
      <c r="P12" s="15">
        <v>0</v>
      </c>
      <c r="R12" s="15" t="s">
        <v>165</v>
      </c>
      <c r="S12" s="15">
        <v>0</v>
      </c>
      <c r="T12" s="15">
        <v>5</v>
      </c>
      <c r="U12" s="15">
        <v>0.31040000000000001</v>
      </c>
      <c r="V12" s="15">
        <v>0.54020000000000001</v>
      </c>
      <c r="W12" s="15">
        <v>0</v>
      </c>
      <c r="X12" s="15">
        <v>0</v>
      </c>
    </row>
    <row r="13" spans="2:24" x14ac:dyDescent="0.25">
      <c r="B13" s="15" t="s">
        <v>166</v>
      </c>
      <c r="C13" s="15">
        <v>1</v>
      </c>
      <c r="D13" s="15">
        <v>0</v>
      </c>
      <c r="E13" s="15">
        <v>0.23830000000000001</v>
      </c>
      <c r="F13" s="15">
        <v>0.53220000000000001</v>
      </c>
      <c r="G13" s="15">
        <v>4.1963911036508597</v>
      </c>
      <c r="H13" s="15">
        <v>0</v>
      </c>
      <c r="J13" s="15" t="s">
        <v>166</v>
      </c>
      <c r="K13" s="15">
        <v>3</v>
      </c>
      <c r="L13" s="15">
        <v>1</v>
      </c>
      <c r="M13" s="15">
        <v>0.17130000000000001</v>
      </c>
      <c r="N13" s="15">
        <v>0.52129999999999999</v>
      </c>
      <c r="O13" s="15">
        <v>17.513134851138354</v>
      </c>
      <c r="P13" s="15">
        <v>1.918281220026856</v>
      </c>
      <c r="R13" s="15" t="s">
        <v>166</v>
      </c>
      <c r="S13" s="15">
        <v>3</v>
      </c>
      <c r="T13" s="15">
        <v>6</v>
      </c>
      <c r="U13" s="15">
        <v>0.25530000000000003</v>
      </c>
      <c r="V13" s="15">
        <v>0.3518</v>
      </c>
      <c r="W13" s="15">
        <v>11.750881316098706</v>
      </c>
      <c r="X13" s="15">
        <v>11.750881316098706</v>
      </c>
    </row>
    <row r="14" spans="2:24" x14ac:dyDescent="0.25">
      <c r="B14" s="15" t="s">
        <v>167</v>
      </c>
      <c r="C14" s="15">
        <v>1</v>
      </c>
      <c r="D14" s="15">
        <v>1</v>
      </c>
      <c r="E14" s="15">
        <v>0.24460000000000001</v>
      </c>
      <c r="F14" s="15">
        <v>0.49230000000000002</v>
      </c>
      <c r="G14" s="15">
        <v>4.0883074407195421</v>
      </c>
      <c r="H14" s="15">
        <v>2.0312817387771682</v>
      </c>
      <c r="J14" s="15" t="s">
        <v>167</v>
      </c>
      <c r="K14" s="15">
        <v>3</v>
      </c>
      <c r="L14" s="15">
        <v>2</v>
      </c>
      <c r="M14" s="15">
        <v>0.29120000000000001</v>
      </c>
      <c r="N14" s="15">
        <v>0.62849999999999995</v>
      </c>
      <c r="O14" s="15">
        <v>10.302197802197801</v>
      </c>
      <c r="P14" s="15">
        <v>3.1821797931583138</v>
      </c>
      <c r="R14" s="15" t="s">
        <v>167</v>
      </c>
      <c r="S14" s="15">
        <v>0</v>
      </c>
      <c r="T14" s="15">
        <v>1</v>
      </c>
      <c r="U14" s="15">
        <v>0.2321</v>
      </c>
      <c r="V14" s="15">
        <v>0.37009999999999998</v>
      </c>
      <c r="W14" s="15">
        <v>0</v>
      </c>
      <c r="X14" s="15">
        <v>0</v>
      </c>
    </row>
    <row r="15" spans="2:24" x14ac:dyDescent="0.25">
      <c r="J15" s="15" t="s">
        <v>168</v>
      </c>
      <c r="K15" s="15">
        <v>0</v>
      </c>
      <c r="L15" s="15">
        <v>1</v>
      </c>
      <c r="M15" s="15">
        <v>0.14369999999999999</v>
      </c>
      <c r="N15" s="15">
        <v>0.48320000000000002</v>
      </c>
      <c r="O15" s="15">
        <v>0</v>
      </c>
      <c r="P15" s="15">
        <v>2.0695364238410594</v>
      </c>
      <c r="R15" s="15" t="s">
        <v>168</v>
      </c>
      <c r="S15" s="15">
        <v>0</v>
      </c>
      <c r="T15" s="15">
        <v>1</v>
      </c>
      <c r="U15" s="15">
        <v>0.1358</v>
      </c>
      <c r="V15" s="15">
        <v>0.28610000000000002</v>
      </c>
      <c r="W15" s="15">
        <v>0</v>
      </c>
      <c r="X15" s="15">
        <v>0</v>
      </c>
    </row>
    <row r="16" spans="2:24" x14ac:dyDescent="0.25">
      <c r="F16" s="34" t="s">
        <v>169</v>
      </c>
      <c r="G16" s="34">
        <f>AVERAGE(G5:G14)</f>
        <v>12.017417601401757</v>
      </c>
      <c r="H16" s="34">
        <v>2.8059050603285085</v>
      </c>
      <c r="J16" s="15" t="s">
        <v>170</v>
      </c>
      <c r="K16" s="15">
        <v>1</v>
      </c>
      <c r="L16" s="15">
        <v>3</v>
      </c>
      <c r="M16" s="15">
        <v>0.2402</v>
      </c>
      <c r="N16" s="15">
        <v>0.58520000000000005</v>
      </c>
      <c r="O16" s="15">
        <v>4.1631973355537051</v>
      </c>
      <c r="P16" s="15">
        <v>5.126452494873547</v>
      </c>
      <c r="R16" s="15" t="s">
        <v>170</v>
      </c>
      <c r="S16" s="15">
        <v>0</v>
      </c>
      <c r="T16" s="15">
        <v>0</v>
      </c>
      <c r="U16" s="15">
        <v>0.21440000000000001</v>
      </c>
      <c r="V16" s="15">
        <v>0.39050000000000001</v>
      </c>
      <c r="W16" s="15">
        <v>0</v>
      </c>
      <c r="X16" s="15">
        <v>0</v>
      </c>
    </row>
    <row r="17" spans="6:30" x14ac:dyDescent="0.25">
      <c r="F17" s="34" t="s">
        <v>171</v>
      </c>
      <c r="G17" s="34">
        <v>15.322589721084524</v>
      </c>
      <c r="H17" s="34">
        <v>2.4840867329625316</v>
      </c>
      <c r="J17" s="15" t="s">
        <v>172</v>
      </c>
      <c r="K17" s="15">
        <v>1</v>
      </c>
      <c r="L17" s="15">
        <v>1</v>
      </c>
      <c r="M17" s="15">
        <v>0.106</v>
      </c>
      <c r="N17" s="15">
        <v>0.46800000000000003</v>
      </c>
      <c r="O17" s="15">
        <v>9.433962264150944</v>
      </c>
      <c r="P17" s="15">
        <v>2.1367521367521367</v>
      </c>
      <c r="R17" s="15" t="s">
        <v>172</v>
      </c>
      <c r="S17" s="15">
        <v>1</v>
      </c>
      <c r="T17" s="15">
        <v>2</v>
      </c>
      <c r="U17" s="15">
        <v>0.2069</v>
      </c>
      <c r="V17" s="15">
        <v>0.40050000000000002</v>
      </c>
      <c r="W17" s="15">
        <v>4.8332527791203477</v>
      </c>
      <c r="X17" s="15">
        <v>4.8332527791203477</v>
      </c>
    </row>
    <row r="18" spans="6:30" x14ac:dyDescent="0.25">
      <c r="J18" s="15" t="s">
        <v>173</v>
      </c>
      <c r="K18" s="15">
        <v>0</v>
      </c>
      <c r="L18" s="15">
        <v>1</v>
      </c>
      <c r="M18" s="15">
        <v>0.2356</v>
      </c>
      <c r="N18" s="15">
        <v>0.56169999999999998</v>
      </c>
      <c r="O18" s="15">
        <v>0</v>
      </c>
      <c r="P18" s="15">
        <v>1.7803097739006588</v>
      </c>
      <c r="R18" s="15" t="s">
        <v>173</v>
      </c>
      <c r="S18" s="15">
        <v>0</v>
      </c>
      <c r="T18" s="15">
        <v>1</v>
      </c>
      <c r="U18" s="15">
        <v>0.14030000000000001</v>
      </c>
      <c r="V18" s="15">
        <v>0.26400000000000001</v>
      </c>
      <c r="W18" s="15">
        <v>0</v>
      </c>
      <c r="X18" s="15">
        <v>0</v>
      </c>
    </row>
    <row r="19" spans="6:30" x14ac:dyDescent="0.25">
      <c r="J19" s="15" t="s">
        <v>174</v>
      </c>
      <c r="K19" s="15">
        <v>0</v>
      </c>
      <c r="L19" s="15">
        <v>1</v>
      </c>
      <c r="M19" s="15">
        <v>0.13</v>
      </c>
      <c r="N19" s="15">
        <v>0.42120000000000002</v>
      </c>
      <c r="O19" s="15">
        <v>0</v>
      </c>
      <c r="P19" s="15">
        <v>2.3741690408357075</v>
      </c>
      <c r="R19" s="15" t="s">
        <v>174</v>
      </c>
      <c r="S19" s="15">
        <v>5</v>
      </c>
      <c r="T19" s="15">
        <v>1</v>
      </c>
      <c r="U19" s="15">
        <v>0.25009999999999999</v>
      </c>
      <c r="V19" s="15">
        <v>0.59560000000000002</v>
      </c>
      <c r="W19" s="15">
        <v>19.992003198720514</v>
      </c>
      <c r="X19" s="15">
        <v>19.992003198720514</v>
      </c>
    </row>
    <row r="20" spans="6:30" x14ac:dyDescent="0.25">
      <c r="J20" s="15" t="s">
        <v>175</v>
      </c>
      <c r="K20" s="15">
        <v>2</v>
      </c>
      <c r="L20" s="15">
        <v>0</v>
      </c>
      <c r="M20" s="15">
        <v>0.23469999999999999</v>
      </c>
      <c r="N20" s="15">
        <v>0.56410000000000005</v>
      </c>
      <c r="O20" s="15">
        <v>8.5215168299957398</v>
      </c>
      <c r="P20" s="15">
        <v>0</v>
      </c>
      <c r="R20" s="15" t="s">
        <v>175</v>
      </c>
      <c r="S20" s="15">
        <v>0</v>
      </c>
      <c r="T20" s="15">
        <v>0</v>
      </c>
      <c r="U20" s="15">
        <v>0.29339999999999999</v>
      </c>
      <c r="V20" s="15">
        <v>0.4556</v>
      </c>
      <c r="W20" s="15">
        <v>0</v>
      </c>
      <c r="X20" s="15">
        <v>0</v>
      </c>
    </row>
    <row r="21" spans="6:30" x14ac:dyDescent="0.25">
      <c r="J21" s="15" t="s">
        <v>176</v>
      </c>
      <c r="K21" s="15">
        <v>1</v>
      </c>
      <c r="L21" s="15">
        <v>0</v>
      </c>
      <c r="M21" s="15">
        <v>0.2964</v>
      </c>
      <c r="N21" s="15">
        <v>0.55679999999999996</v>
      </c>
      <c r="O21" s="15">
        <v>3.3738191632928474</v>
      </c>
      <c r="P21" s="15">
        <v>0</v>
      </c>
      <c r="R21" s="15" t="s">
        <v>176</v>
      </c>
      <c r="S21" s="15">
        <v>1</v>
      </c>
      <c r="T21" s="15">
        <v>3</v>
      </c>
      <c r="U21" s="15">
        <v>0.1983</v>
      </c>
      <c r="V21" s="15">
        <v>0.37259999999999999</v>
      </c>
      <c r="W21" s="15">
        <v>5.0428643469490666</v>
      </c>
      <c r="X21" s="15">
        <v>5.0428643469490666</v>
      </c>
    </row>
    <row r="22" spans="6:30" x14ac:dyDescent="0.25">
      <c r="R22" s="15" t="s">
        <v>177</v>
      </c>
      <c r="S22" s="15">
        <v>0</v>
      </c>
      <c r="T22" s="15">
        <v>2</v>
      </c>
      <c r="U22" s="15">
        <v>0.2429</v>
      </c>
      <c r="V22" s="15">
        <v>0.47699999999999998</v>
      </c>
      <c r="W22" s="15">
        <v>0</v>
      </c>
      <c r="X22" s="15">
        <v>0</v>
      </c>
      <c r="AD22" s="53"/>
    </row>
    <row r="23" spans="6:30" x14ac:dyDescent="0.25">
      <c r="N23" s="34" t="s">
        <v>169</v>
      </c>
      <c r="O23" s="34">
        <v>11.289454000502442</v>
      </c>
      <c r="P23" s="34">
        <v>4.9082658762854869</v>
      </c>
      <c r="R23" s="15" t="s">
        <v>178</v>
      </c>
      <c r="S23" s="53">
        <v>1</v>
      </c>
      <c r="T23" s="53">
        <v>1</v>
      </c>
      <c r="U23" s="53">
        <v>0.18310000000000001</v>
      </c>
      <c r="V23" s="53">
        <v>0.32990000000000003</v>
      </c>
      <c r="W23" s="53">
        <v>5.4614964500273073</v>
      </c>
      <c r="X23" s="53">
        <v>5.4614964500273073</v>
      </c>
    </row>
    <row r="24" spans="6:30" x14ac:dyDescent="0.25">
      <c r="N24" s="34" t="s">
        <v>171</v>
      </c>
      <c r="O24" s="34">
        <v>9.495059137450248</v>
      </c>
      <c r="P24" s="34">
        <v>5.703807357120799</v>
      </c>
      <c r="R24" s="15" t="s">
        <v>179</v>
      </c>
      <c r="S24" s="15">
        <v>2</v>
      </c>
      <c r="T24" s="15">
        <v>0</v>
      </c>
      <c r="U24" s="15">
        <v>0.1729</v>
      </c>
      <c r="V24" s="15">
        <v>0.38090000000000002</v>
      </c>
      <c r="W24" s="15">
        <v>11.56737998843262</v>
      </c>
      <c r="X24" s="15">
        <v>11.56737998843262</v>
      </c>
    </row>
    <row r="26" spans="6:30" x14ac:dyDescent="0.25">
      <c r="V26" s="34" t="s">
        <v>169</v>
      </c>
      <c r="W26" s="52">
        <f>AVERAGE(W5:W24)</f>
        <v>4.0049546075648861</v>
      </c>
      <c r="X26" s="52">
        <v>4.7902869290288184</v>
      </c>
    </row>
    <row r="27" spans="6:30" x14ac:dyDescent="0.25">
      <c r="V27" s="34" t="s">
        <v>171</v>
      </c>
      <c r="W27" s="52">
        <v>6.1228007642585247</v>
      </c>
      <c r="X27" s="52">
        <v>6.7757093932373937</v>
      </c>
    </row>
  </sheetData>
  <mergeCells count="12">
    <mergeCell ref="O3:P3"/>
    <mergeCell ref="S3:T3"/>
    <mergeCell ref="U3:V3"/>
    <mergeCell ref="W3:X3"/>
    <mergeCell ref="B2:H2"/>
    <mergeCell ref="J2:P2"/>
    <mergeCell ref="R2:X2"/>
    <mergeCell ref="C3:D3"/>
    <mergeCell ref="E3:F3"/>
    <mergeCell ref="G3:H3"/>
    <mergeCell ref="K3:L3"/>
    <mergeCell ref="M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E6EB-98E4-4965-92CC-9F8666869C0C}">
  <dimension ref="B2:S20"/>
  <sheetViews>
    <sheetView zoomScale="85" zoomScaleNormal="85" workbookViewId="0">
      <selection activeCell="W17" sqref="W17"/>
    </sheetView>
  </sheetViews>
  <sheetFormatPr defaultColWidth="8.85546875" defaultRowHeight="15" x14ac:dyDescent="0.25"/>
  <cols>
    <col min="1" max="16384" width="8.85546875" style="19"/>
  </cols>
  <sheetData>
    <row r="2" spans="2:19" x14ac:dyDescent="0.25">
      <c r="B2" s="38" t="s">
        <v>180</v>
      </c>
      <c r="C2" s="38" t="s">
        <v>36</v>
      </c>
      <c r="D2" s="38" t="s">
        <v>37</v>
      </c>
      <c r="E2" s="38" t="s">
        <v>38</v>
      </c>
      <c r="F2" s="38" t="s">
        <v>39</v>
      </c>
      <c r="G2" s="38" t="s">
        <v>40</v>
      </c>
      <c r="H2" s="38" t="s">
        <v>42</v>
      </c>
      <c r="I2" s="38" t="s">
        <v>43</v>
      </c>
      <c r="J2" s="38" t="s">
        <v>44</v>
      </c>
      <c r="K2" s="38" t="s">
        <v>45</v>
      </c>
      <c r="L2" s="38" t="s">
        <v>46</v>
      </c>
      <c r="M2" s="38" t="s">
        <v>47</v>
      </c>
      <c r="N2" s="38" t="s">
        <v>48</v>
      </c>
      <c r="O2" s="38" t="s">
        <v>40</v>
      </c>
      <c r="P2" s="38" t="s">
        <v>31</v>
      </c>
      <c r="Q2" s="38" t="s">
        <v>32</v>
      </c>
      <c r="R2" s="38" t="s">
        <v>181</v>
      </c>
      <c r="S2" s="38" t="s">
        <v>40</v>
      </c>
    </row>
    <row r="3" spans="2:19" x14ac:dyDescent="0.25">
      <c r="B3" s="19" t="s">
        <v>149</v>
      </c>
      <c r="C3" s="19">
        <v>11</v>
      </c>
      <c r="D3" s="19">
        <v>2</v>
      </c>
      <c r="E3" s="19">
        <v>15</v>
      </c>
      <c r="F3" s="19">
        <v>5</v>
      </c>
      <c r="G3" s="48">
        <v>33</v>
      </c>
      <c r="H3" s="19">
        <v>7</v>
      </c>
      <c r="I3" s="19">
        <v>5</v>
      </c>
      <c r="J3" s="19">
        <v>2</v>
      </c>
      <c r="K3" s="19">
        <v>14</v>
      </c>
      <c r="L3" s="19">
        <v>3</v>
      </c>
      <c r="M3" s="19">
        <v>1</v>
      </c>
      <c r="N3" s="19">
        <v>1</v>
      </c>
      <c r="O3" s="48">
        <v>33</v>
      </c>
      <c r="P3" s="19">
        <v>18</v>
      </c>
      <c r="Q3" s="19">
        <v>11</v>
      </c>
      <c r="R3" s="19">
        <v>4</v>
      </c>
      <c r="S3" s="48">
        <v>33</v>
      </c>
    </row>
    <row r="4" spans="2:19" x14ac:dyDescent="0.25">
      <c r="B4" s="19" t="s">
        <v>150</v>
      </c>
      <c r="C4" s="19">
        <v>25</v>
      </c>
      <c r="D4" s="19">
        <v>13</v>
      </c>
      <c r="E4" s="19">
        <v>20</v>
      </c>
      <c r="F4" s="19">
        <v>12</v>
      </c>
      <c r="G4" s="48">
        <v>70</v>
      </c>
      <c r="H4" s="19">
        <v>8</v>
      </c>
      <c r="I4" s="19">
        <v>16</v>
      </c>
      <c r="J4" s="19">
        <v>10</v>
      </c>
      <c r="K4" s="19">
        <v>10</v>
      </c>
      <c r="L4" s="19">
        <v>19</v>
      </c>
      <c r="M4" s="19">
        <v>5</v>
      </c>
      <c r="N4" s="19">
        <v>2</v>
      </c>
      <c r="O4" s="48">
        <v>70</v>
      </c>
      <c r="P4" s="19">
        <v>37</v>
      </c>
      <c r="Q4" s="19">
        <v>24</v>
      </c>
      <c r="R4" s="19">
        <v>9</v>
      </c>
      <c r="S4" s="48">
        <v>70</v>
      </c>
    </row>
    <row r="5" spans="2:19" x14ac:dyDescent="0.25">
      <c r="B5" s="19" t="s">
        <v>151</v>
      </c>
      <c r="C5" s="19">
        <v>25</v>
      </c>
      <c r="D5" s="19">
        <v>0</v>
      </c>
      <c r="E5" s="19">
        <v>31</v>
      </c>
      <c r="F5" s="19">
        <v>4</v>
      </c>
      <c r="G5" s="48">
        <v>60</v>
      </c>
      <c r="H5" s="19">
        <v>9</v>
      </c>
      <c r="I5" s="19">
        <v>13</v>
      </c>
      <c r="J5" s="19">
        <v>11</v>
      </c>
      <c r="K5" s="19">
        <v>21</v>
      </c>
      <c r="L5" s="19">
        <v>6</v>
      </c>
      <c r="M5" s="19">
        <v>0</v>
      </c>
      <c r="N5" s="19">
        <v>0</v>
      </c>
      <c r="O5" s="48">
        <v>60</v>
      </c>
      <c r="P5" s="19">
        <v>38</v>
      </c>
      <c r="Q5" s="19">
        <v>17</v>
      </c>
      <c r="R5" s="19">
        <v>5</v>
      </c>
      <c r="S5" s="48">
        <v>60</v>
      </c>
    </row>
    <row r="7" spans="2:19" x14ac:dyDescent="0.25">
      <c r="B7" s="38"/>
      <c r="C7" s="38" t="s">
        <v>36</v>
      </c>
      <c r="D7" s="38" t="s">
        <v>37</v>
      </c>
      <c r="E7" s="38" t="s">
        <v>38</v>
      </c>
      <c r="F7" s="38" t="s">
        <v>39</v>
      </c>
      <c r="G7" s="38"/>
      <c r="H7" s="38" t="s">
        <v>42</v>
      </c>
      <c r="I7" s="38" t="s">
        <v>43</v>
      </c>
      <c r="J7" s="38" t="s">
        <v>44</v>
      </c>
      <c r="K7" s="38" t="s">
        <v>45</v>
      </c>
      <c r="L7" s="38" t="s">
        <v>46</v>
      </c>
      <c r="M7" s="38" t="s">
        <v>47</v>
      </c>
      <c r="N7" s="38" t="s">
        <v>48</v>
      </c>
      <c r="O7" s="38"/>
      <c r="P7" s="38" t="s">
        <v>31</v>
      </c>
      <c r="Q7" s="38" t="s">
        <v>32</v>
      </c>
      <c r="R7" s="38" t="s">
        <v>181</v>
      </c>
    </row>
    <row r="8" spans="2:19" x14ac:dyDescent="0.25">
      <c r="B8" s="19" t="s">
        <v>149</v>
      </c>
      <c r="C8" s="19">
        <v>11</v>
      </c>
      <c r="D8" s="19">
        <v>2</v>
      </c>
      <c r="E8" s="19">
        <v>15</v>
      </c>
      <c r="F8" s="19">
        <v>5</v>
      </c>
      <c r="G8" s="19" t="s">
        <v>149</v>
      </c>
      <c r="H8" s="19">
        <v>7</v>
      </c>
      <c r="I8" s="19">
        <v>5</v>
      </c>
      <c r="J8" s="19">
        <v>2</v>
      </c>
      <c r="K8" s="19">
        <v>14</v>
      </c>
      <c r="L8" s="19">
        <v>3</v>
      </c>
      <c r="M8" s="19">
        <v>1</v>
      </c>
      <c r="N8" s="19">
        <v>1</v>
      </c>
      <c r="O8" s="19" t="s">
        <v>149</v>
      </c>
      <c r="P8" s="19">
        <v>18</v>
      </c>
      <c r="Q8" s="19">
        <v>11</v>
      </c>
      <c r="R8" s="19">
        <v>4</v>
      </c>
    </row>
    <row r="9" spans="2:19" x14ac:dyDescent="0.25">
      <c r="B9" s="19" t="s">
        <v>150</v>
      </c>
      <c r="C9" s="19">
        <v>25</v>
      </c>
      <c r="D9" s="19">
        <v>13</v>
      </c>
      <c r="E9" s="19">
        <v>20</v>
      </c>
      <c r="F9" s="19">
        <v>12</v>
      </c>
      <c r="G9" s="19" t="s">
        <v>150</v>
      </c>
      <c r="H9" s="19">
        <v>8</v>
      </c>
      <c r="I9" s="19">
        <v>16</v>
      </c>
      <c r="J9" s="19">
        <v>10</v>
      </c>
      <c r="K9" s="19">
        <v>10</v>
      </c>
      <c r="L9" s="19">
        <v>19</v>
      </c>
      <c r="M9" s="19">
        <v>5</v>
      </c>
      <c r="N9" s="19">
        <v>2</v>
      </c>
      <c r="O9" s="19" t="s">
        <v>150</v>
      </c>
      <c r="P9" s="19">
        <v>37</v>
      </c>
      <c r="Q9" s="19">
        <v>24</v>
      </c>
      <c r="R9" s="19">
        <v>9</v>
      </c>
    </row>
    <row r="10" spans="2:19" x14ac:dyDescent="0.25">
      <c r="B10" s="19" t="s">
        <v>151</v>
      </c>
      <c r="C10" s="19">
        <v>25</v>
      </c>
      <c r="D10" s="19">
        <v>0</v>
      </c>
      <c r="E10" s="19">
        <v>31</v>
      </c>
      <c r="F10" s="19">
        <v>4</v>
      </c>
      <c r="G10" s="19" t="s">
        <v>151</v>
      </c>
      <c r="H10" s="19">
        <v>9</v>
      </c>
      <c r="I10" s="19">
        <v>13</v>
      </c>
      <c r="J10" s="19">
        <v>11</v>
      </c>
      <c r="K10" s="19">
        <v>21</v>
      </c>
      <c r="L10" s="19">
        <v>6</v>
      </c>
      <c r="M10" s="19">
        <v>0</v>
      </c>
      <c r="N10" s="19">
        <v>0</v>
      </c>
      <c r="O10" s="19" t="s">
        <v>151</v>
      </c>
      <c r="P10" s="19">
        <v>38</v>
      </c>
      <c r="Q10" s="19">
        <v>17</v>
      </c>
      <c r="R10" s="19">
        <v>5</v>
      </c>
    </row>
    <row r="12" spans="2:19" x14ac:dyDescent="0.25">
      <c r="B12" s="38" t="s">
        <v>182</v>
      </c>
      <c r="C12" s="38" t="s">
        <v>36</v>
      </c>
      <c r="D12" s="38" t="s">
        <v>37</v>
      </c>
      <c r="E12" s="38" t="s">
        <v>38</v>
      </c>
      <c r="F12" s="38" t="s">
        <v>39</v>
      </c>
      <c r="G12" s="38"/>
      <c r="H12" s="38" t="s">
        <v>42</v>
      </c>
      <c r="I12" s="38" t="s">
        <v>43</v>
      </c>
      <c r="J12" s="38" t="s">
        <v>44</v>
      </c>
      <c r="K12" s="38" t="s">
        <v>45</v>
      </c>
      <c r="L12" s="38" t="s">
        <v>46</v>
      </c>
      <c r="M12" s="38" t="s">
        <v>47</v>
      </c>
      <c r="N12" s="38" t="s">
        <v>48</v>
      </c>
      <c r="O12" s="38"/>
      <c r="P12" s="38" t="s">
        <v>31</v>
      </c>
      <c r="Q12" s="38" t="s">
        <v>32</v>
      </c>
      <c r="R12" s="38" t="s">
        <v>181</v>
      </c>
    </row>
    <row r="13" spans="2:19" x14ac:dyDescent="0.25">
      <c r="B13" s="19" t="s">
        <v>149</v>
      </c>
      <c r="C13" s="15">
        <f>C8/33*100</f>
        <v>33.333333333333329</v>
      </c>
      <c r="D13" s="15">
        <f t="shared" ref="D13:F13" si="0">D8/33*100</f>
        <v>6.0606060606060606</v>
      </c>
      <c r="E13" s="15">
        <f t="shared" si="0"/>
        <v>45.454545454545453</v>
      </c>
      <c r="F13" s="15">
        <f t="shared" si="0"/>
        <v>15.151515151515152</v>
      </c>
      <c r="G13" s="19" t="s">
        <v>149</v>
      </c>
      <c r="H13" s="15">
        <f>H8/33*100</f>
        <v>21.212121212121211</v>
      </c>
      <c r="I13" s="15">
        <f t="shared" ref="I13:N13" si="1">I8/33*100</f>
        <v>15.151515151515152</v>
      </c>
      <c r="J13" s="15">
        <f t="shared" si="1"/>
        <v>6.0606060606060606</v>
      </c>
      <c r="K13" s="15">
        <f t="shared" si="1"/>
        <v>42.424242424242422</v>
      </c>
      <c r="L13" s="15">
        <f t="shared" si="1"/>
        <v>9.0909090909090917</v>
      </c>
      <c r="M13" s="15">
        <f t="shared" si="1"/>
        <v>3.0303030303030303</v>
      </c>
      <c r="N13" s="15">
        <f t="shared" si="1"/>
        <v>3.0303030303030303</v>
      </c>
      <c r="O13" s="19" t="s">
        <v>149</v>
      </c>
      <c r="P13" s="15">
        <f>P8/33*100</f>
        <v>54.54545454545454</v>
      </c>
      <c r="Q13" s="15">
        <v>33.333333333333329</v>
      </c>
      <c r="R13" s="15">
        <v>12.121212121212121</v>
      </c>
    </row>
    <row r="14" spans="2:19" x14ac:dyDescent="0.25">
      <c r="B14" s="19" t="s">
        <v>150</v>
      </c>
      <c r="C14" s="15">
        <f>C9/70*100</f>
        <v>35.714285714285715</v>
      </c>
      <c r="D14" s="15">
        <f t="shared" ref="D14:F14" si="2">D9/70*100</f>
        <v>18.571428571428573</v>
      </c>
      <c r="E14" s="15">
        <f t="shared" si="2"/>
        <v>28.571428571428569</v>
      </c>
      <c r="F14" s="15">
        <f t="shared" si="2"/>
        <v>17.142857142857142</v>
      </c>
      <c r="G14" s="19" t="s">
        <v>150</v>
      </c>
      <c r="H14" s="15">
        <f>H9/70*100</f>
        <v>11.428571428571429</v>
      </c>
      <c r="I14" s="15">
        <f t="shared" ref="I14:N14" si="3">I9/70*100</f>
        <v>22.857142857142858</v>
      </c>
      <c r="J14" s="15">
        <f t="shared" si="3"/>
        <v>14.285714285714285</v>
      </c>
      <c r="K14" s="15">
        <f t="shared" si="3"/>
        <v>14.285714285714285</v>
      </c>
      <c r="L14" s="15">
        <f t="shared" si="3"/>
        <v>27.142857142857142</v>
      </c>
      <c r="M14" s="15">
        <f t="shared" si="3"/>
        <v>7.1428571428571423</v>
      </c>
      <c r="N14" s="15">
        <f t="shared" si="3"/>
        <v>2.8571428571428572</v>
      </c>
      <c r="O14" s="19" t="s">
        <v>150</v>
      </c>
      <c r="P14" s="15">
        <v>52.857142857142861</v>
      </c>
      <c r="Q14" s="15">
        <v>34.285714285714285</v>
      </c>
      <c r="R14" s="15">
        <v>12.857142857142856</v>
      </c>
    </row>
    <row r="15" spans="2:19" x14ac:dyDescent="0.25">
      <c r="B15" s="19" t="s">
        <v>151</v>
      </c>
      <c r="C15" s="15">
        <f>C10/60*100</f>
        <v>41.666666666666671</v>
      </c>
      <c r="D15" s="15">
        <f t="shared" ref="D15:F15" si="4">D10/60*100</f>
        <v>0</v>
      </c>
      <c r="E15" s="15">
        <f t="shared" si="4"/>
        <v>51.666666666666671</v>
      </c>
      <c r="F15" s="15">
        <f t="shared" si="4"/>
        <v>6.666666666666667</v>
      </c>
      <c r="G15" s="19" t="s">
        <v>151</v>
      </c>
      <c r="H15" s="15">
        <f>H10/60*100</f>
        <v>15</v>
      </c>
      <c r="I15" s="15">
        <f t="shared" ref="I15:N15" si="5">I10/60*100</f>
        <v>21.666666666666668</v>
      </c>
      <c r="J15" s="15">
        <f t="shared" si="5"/>
        <v>18.333333333333332</v>
      </c>
      <c r="K15" s="15">
        <f t="shared" si="5"/>
        <v>35</v>
      </c>
      <c r="L15" s="15">
        <f t="shared" si="5"/>
        <v>10</v>
      </c>
      <c r="M15" s="15">
        <f t="shared" si="5"/>
        <v>0</v>
      </c>
      <c r="N15" s="15">
        <f t="shared" si="5"/>
        <v>0</v>
      </c>
      <c r="O15" s="19" t="s">
        <v>151</v>
      </c>
      <c r="P15" s="15">
        <f>P10/60*100</f>
        <v>63.333333333333329</v>
      </c>
      <c r="Q15" s="15">
        <f t="shared" ref="Q15:R15" si="6">Q10/60*100</f>
        <v>28.333333333333332</v>
      </c>
      <c r="R15" s="15">
        <f t="shared" si="6"/>
        <v>8.3333333333333321</v>
      </c>
    </row>
    <row r="16" spans="2:19" x14ac:dyDescent="0.25"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2:18" x14ac:dyDescent="0.25">
      <c r="B17" s="38"/>
      <c r="C17" s="37" t="s">
        <v>36</v>
      </c>
      <c r="D17" s="37" t="s">
        <v>37</v>
      </c>
      <c r="E17" s="37" t="s">
        <v>38</v>
      </c>
      <c r="F17" s="37" t="s">
        <v>39</v>
      </c>
      <c r="G17" s="37"/>
      <c r="H17" s="37" t="s">
        <v>42</v>
      </c>
      <c r="I17" s="37" t="s">
        <v>43</v>
      </c>
      <c r="J17" s="37" t="s">
        <v>44</v>
      </c>
      <c r="K17" s="37" t="s">
        <v>45</v>
      </c>
      <c r="L17" s="37" t="s">
        <v>46</v>
      </c>
      <c r="M17" s="37" t="s">
        <v>47</v>
      </c>
      <c r="N17" s="37" t="s">
        <v>48</v>
      </c>
      <c r="O17" s="37"/>
      <c r="P17" s="37" t="s">
        <v>31</v>
      </c>
      <c r="Q17" s="37" t="s">
        <v>32</v>
      </c>
      <c r="R17" s="37" t="s">
        <v>181</v>
      </c>
    </row>
    <row r="18" spans="2:18" x14ac:dyDescent="0.25">
      <c r="B18" s="19" t="s">
        <v>149</v>
      </c>
      <c r="C18" s="15">
        <v>33.333333333333329</v>
      </c>
      <c r="D18" s="15">
        <v>6.0606060606060606</v>
      </c>
      <c r="E18" s="15">
        <v>45.454545454545453</v>
      </c>
      <c r="F18" s="15">
        <v>15.151515151515152</v>
      </c>
      <c r="G18" s="19" t="s">
        <v>149</v>
      </c>
      <c r="H18" s="15">
        <v>21.212121212121211</v>
      </c>
      <c r="I18" s="15">
        <v>15.151515151515152</v>
      </c>
      <c r="J18" s="15">
        <v>6.0606060606060606</v>
      </c>
      <c r="K18" s="15">
        <v>42.424242424242422</v>
      </c>
      <c r="L18" s="15">
        <v>9.0909090909090917</v>
      </c>
      <c r="M18" s="15">
        <v>3.0303030303030303</v>
      </c>
      <c r="N18" s="15">
        <v>3.0303030303030303</v>
      </c>
      <c r="O18" s="19" t="s">
        <v>149</v>
      </c>
      <c r="P18" s="15">
        <v>54.54545454545454</v>
      </c>
      <c r="Q18" s="15">
        <v>33.333333333333329</v>
      </c>
      <c r="R18" s="15">
        <v>12.121212121212121</v>
      </c>
    </row>
    <row r="19" spans="2:18" x14ac:dyDescent="0.25">
      <c r="B19" s="19" t="s">
        <v>150</v>
      </c>
      <c r="C19" s="15">
        <v>35.714285714285715</v>
      </c>
      <c r="D19" s="15">
        <v>18.571428571428573</v>
      </c>
      <c r="E19" s="15">
        <v>28.571428571428569</v>
      </c>
      <c r="F19" s="15">
        <v>17.142857142857142</v>
      </c>
      <c r="G19" s="19" t="s">
        <v>150</v>
      </c>
      <c r="H19" s="15">
        <v>11.428571428571429</v>
      </c>
      <c r="I19" s="15">
        <v>22.857142857142858</v>
      </c>
      <c r="J19" s="15">
        <v>14.285714285714285</v>
      </c>
      <c r="K19" s="15">
        <v>14.285714285714285</v>
      </c>
      <c r="L19" s="15">
        <v>27.142857142857142</v>
      </c>
      <c r="M19" s="15">
        <v>7.1428571428571423</v>
      </c>
      <c r="N19" s="15">
        <v>2.8571428571428572</v>
      </c>
      <c r="O19" s="19" t="s">
        <v>150</v>
      </c>
      <c r="P19" s="15">
        <v>52.857142857142861</v>
      </c>
      <c r="Q19" s="15">
        <v>34.285714285714285</v>
      </c>
      <c r="R19" s="15">
        <v>12.857142857142856</v>
      </c>
    </row>
    <row r="20" spans="2:18" x14ac:dyDescent="0.25">
      <c r="B20" s="19" t="s">
        <v>151</v>
      </c>
      <c r="C20" s="15">
        <v>41.666666666666671</v>
      </c>
      <c r="D20" s="15">
        <v>0</v>
      </c>
      <c r="E20" s="15">
        <v>51.666666666666671</v>
      </c>
      <c r="F20" s="15">
        <v>6.666666666666667</v>
      </c>
      <c r="G20" s="19" t="s">
        <v>151</v>
      </c>
      <c r="H20" s="15">
        <v>15</v>
      </c>
      <c r="I20" s="15">
        <v>21.666666666666668</v>
      </c>
      <c r="J20" s="15">
        <v>18.333333333333332</v>
      </c>
      <c r="K20" s="15">
        <v>35</v>
      </c>
      <c r="L20" s="15">
        <v>10</v>
      </c>
      <c r="M20" s="15">
        <v>0</v>
      </c>
      <c r="N20" s="15">
        <v>0</v>
      </c>
      <c r="O20" s="19" t="s">
        <v>151</v>
      </c>
      <c r="P20" s="15">
        <v>63.333333333333329</v>
      </c>
      <c r="Q20" s="15">
        <v>28.333333333333332</v>
      </c>
      <c r="R20" s="15">
        <v>8.3333333333333321</v>
      </c>
    </row>
  </sheetData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19D8-021A-447E-BC97-C4414582D98C}">
  <dimension ref="B2:S24"/>
  <sheetViews>
    <sheetView workbookViewId="0">
      <selection activeCell="U20" sqref="U20"/>
    </sheetView>
  </sheetViews>
  <sheetFormatPr defaultColWidth="8.85546875" defaultRowHeight="15" x14ac:dyDescent="0.25"/>
  <cols>
    <col min="1" max="13" width="8.85546875" style="19"/>
    <col min="14" max="14" width="8.85546875" style="19" customWidth="1"/>
    <col min="15" max="16" width="8.85546875" style="19"/>
    <col min="17" max="18" width="9.5703125" style="19" bestFit="1" customWidth="1"/>
    <col min="19" max="19" width="28.85546875" style="19" customWidth="1"/>
    <col min="20" max="16384" width="8.85546875" style="19"/>
  </cols>
  <sheetData>
    <row r="2" spans="2:19" x14ac:dyDescent="0.25">
      <c r="B2" s="62" t="s">
        <v>183</v>
      </c>
      <c r="C2" s="62"/>
      <c r="D2" s="62"/>
      <c r="E2" s="62"/>
      <c r="G2" s="62" t="s">
        <v>150</v>
      </c>
      <c r="H2" s="62"/>
      <c r="I2" s="62"/>
      <c r="J2" s="62"/>
      <c r="L2" s="62" t="s">
        <v>151</v>
      </c>
      <c r="M2" s="62"/>
      <c r="N2" s="62"/>
      <c r="O2" s="62"/>
    </row>
    <row r="3" spans="2:19" x14ac:dyDescent="0.25">
      <c r="B3" s="40" t="s">
        <v>184</v>
      </c>
      <c r="C3" s="40" t="s">
        <v>157</v>
      </c>
      <c r="D3" s="40" t="s">
        <v>64</v>
      </c>
      <c r="E3" s="40" t="s">
        <v>40</v>
      </c>
      <c r="G3" s="40" t="s">
        <v>184</v>
      </c>
      <c r="H3" s="40" t="s">
        <v>157</v>
      </c>
      <c r="I3" s="40" t="s">
        <v>64</v>
      </c>
      <c r="J3" s="40" t="s">
        <v>40</v>
      </c>
      <c r="L3" s="40" t="s">
        <v>184</v>
      </c>
      <c r="M3" s="40" t="s">
        <v>157</v>
      </c>
      <c r="N3" s="40" t="s">
        <v>64</v>
      </c>
      <c r="O3" s="40" t="s">
        <v>40</v>
      </c>
    </row>
    <row r="4" spans="2:19" x14ac:dyDescent="0.25">
      <c r="B4" s="19">
        <v>1</v>
      </c>
      <c r="C4" s="19">
        <v>7</v>
      </c>
      <c r="D4" s="19">
        <v>2</v>
      </c>
      <c r="E4" s="19">
        <v>9</v>
      </c>
      <c r="G4" s="19">
        <v>1</v>
      </c>
      <c r="H4" s="19">
        <v>2</v>
      </c>
      <c r="I4" s="19">
        <v>3</v>
      </c>
      <c r="J4" s="19">
        <v>5</v>
      </c>
      <c r="L4" s="19">
        <v>1</v>
      </c>
      <c r="M4" s="50">
        <v>0</v>
      </c>
      <c r="N4" s="50">
        <v>12</v>
      </c>
      <c r="O4" s="19">
        <v>12</v>
      </c>
      <c r="Q4" s="23" t="s">
        <v>185</v>
      </c>
      <c r="R4" s="23" t="s">
        <v>34</v>
      </c>
      <c r="S4" s="23" t="s">
        <v>186</v>
      </c>
    </row>
    <row r="5" spans="2:19" x14ac:dyDescent="0.25">
      <c r="B5" s="19">
        <v>2</v>
      </c>
      <c r="C5" s="19">
        <v>5</v>
      </c>
      <c r="D5" s="19">
        <v>0</v>
      </c>
      <c r="E5" s="19">
        <v>5</v>
      </c>
      <c r="G5" s="19">
        <v>2</v>
      </c>
      <c r="H5" s="19">
        <v>1</v>
      </c>
      <c r="I5" s="19">
        <v>7</v>
      </c>
      <c r="J5" s="19">
        <v>8</v>
      </c>
      <c r="L5" s="19">
        <v>2</v>
      </c>
      <c r="M5" s="50">
        <v>0</v>
      </c>
      <c r="N5" s="50">
        <v>4</v>
      </c>
      <c r="O5" s="19">
        <v>4</v>
      </c>
      <c r="Q5" s="19" t="s">
        <v>149</v>
      </c>
      <c r="R5" s="19" t="s">
        <v>53</v>
      </c>
      <c r="S5" s="19">
        <v>60</v>
      </c>
    </row>
    <row r="6" spans="2:19" x14ac:dyDescent="0.25">
      <c r="B6" s="19">
        <v>3</v>
      </c>
      <c r="C6" s="19">
        <v>3</v>
      </c>
      <c r="D6" s="19">
        <v>2</v>
      </c>
      <c r="E6" s="19">
        <v>5</v>
      </c>
      <c r="G6" s="19">
        <v>3</v>
      </c>
      <c r="H6" s="19">
        <v>4</v>
      </c>
      <c r="I6" s="19">
        <v>6</v>
      </c>
      <c r="J6" s="19">
        <v>10</v>
      </c>
      <c r="L6" s="19">
        <v>3</v>
      </c>
      <c r="M6" s="50">
        <v>3</v>
      </c>
      <c r="N6" s="50">
        <v>0</v>
      </c>
      <c r="O6" s="19">
        <v>3</v>
      </c>
      <c r="Q6" s="19" t="s">
        <v>149</v>
      </c>
      <c r="R6" s="19" t="s">
        <v>64</v>
      </c>
      <c r="S6" s="19">
        <v>70</v>
      </c>
    </row>
    <row r="7" spans="2:19" x14ac:dyDescent="0.25">
      <c r="B7" s="19">
        <v>4</v>
      </c>
      <c r="C7" s="19">
        <v>3</v>
      </c>
      <c r="D7" s="19">
        <v>1</v>
      </c>
      <c r="E7" s="19">
        <v>4</v>
      </c>
      <c r="G7" s="19">
        <v>4</v>
      </c>
      <c r="H7" s="19">
        <v>3</v>
      </c>
      <c r="I7" s="19">
        <v>4</v>
      </c>
      <c r="J7" s="19">
        <v>7</v>
      </c>
      <c r="L7" s="19">
        <v>4</v>
      </c>
      <c r="M7" s="19">
        <v>0</v>
      </c>
      <c r="N7" s="19">
        <v>0</v>
      </c>
      <c r="O7" s="19">
        <v>0</v>
      </c>
      <c r="Q7" s="19" t="s">
        <v>150</v>
      </c>
      <c r="R7" s="19" t="s">
        <v>53</v>
      </c>
      <c r="S7" s="15">
        <v>82.35</v>
      </c>
    </row>
    <row r="8" spans="2:19" x14ac:dyDescent="0.25">
      <c r="B8" s="19">
        <v>5</v>
      </c>
      <c r="C8" s="19">
        <v>0</v>
      </c>
      <c r="D8" s="19">
        <v>2</v>
      </c>
      <c r="E8" s="19">
        <v>2</v>
      </c>
      <c r="G8" s="19">
        <v>5</v>
      </c>
      <c r="H8" s="19">
        <v>5</v>
      </c>
      <c r="I8" s="19">
        <v>5</v>
      </c>
      <c r="J8" s="19">
        <v>10</v>
      </c>
      <c r="L8" s="19">
        <v>5</v>
      </c>
      <c r="M8" s="50">
        <v>2</v>
      </c>
      <c r="N8" s="50">
        <v>2</v>
      </c>
      <c r="O8" s="19">
        <v>4</v>
      </c>
      <c r="Q8" s="19" t="s">
        <v>150</v>
      </c>
      <c r="R8" s="19" t="s">
        <v>64</v>
      </c>
      <c r="S8" s="15">
        <v>76.47</v>
      </c>
    </row>
    <row r="9" spans="2:19" x14ac:dyDescent="0.25">
      <c r="B9" s="19">
        <v>6</v>
      </c>
      <c r="C9" s="19">
        <v>0</v>
      </c>
      <c r="D9" s="19">
        <v>3</v>
      </c>
      <c r="E9" s="19">
        <v>3</v>
      </c>
      <c r="G9" s="19">
        <v>6</v>
      </c>
      <c r="H9" s="19">
        <v>3</v>
      </c>
      <c r="I9" s="19">
        <v>2</v>
      </c>
      <c r="J9" s="19">
        <v>5</v>
      </c>
      <c r="L9" s="19">
        <v>6</v>
      </c>
      <c r="M9" s="50">
        <v>0</v>
      </c>
      <c r="N9" s="50">
        <v>1</v>
      </c>
      <c r="O9" s="19">
        <v>1</v>
      </c>
      <c r="Q9" s="19" t="s">
        <v>151</v>
      </c>
      <c r="R9" s="19" t="s">
        <v>53</v>
      </c>
      <c r="S9" s="15">
        <v>40</v>
      </c>
    </row>
    <row r="10" spans="2:19" x14ac:dyDescent="0.25">
      <c r="B10" s="19">
        <v>7</v>
      </c>
      <c r="C10" s="19">
        <v>0</v>
      </c>
      <c r="D10" s="19">
        <v>0</v>
      </c>
      <c r="E10" s="19">
        <v>0</v>
      </c>
      <c r="G10" s="19">
        <v>7</v>
      </c>
      <c r="H10" s="19">
        <v>2</v>
      </c>
      <c r="I10" s="19">
        <v>0</v>
      </c>
      <c r="J10" s="19">
        <v>2</v>
      </c>
      <c r="L10" s="19">
        <v>7</v>
      </c>
      <c r="M10" s="19">
        <v>0</v>
      </c>
      <c r="N10" s="19">
        <v>0</v>
      </c>
      <c r="O10" s="19">
        <v>0</v>
      </c>
      <c r="Q10" s="19" t="s">
        <v>151</v>
      </c>
      <c r="R10" s="19" t="s">
        <v>64</v>
      </c>
      <c r="S10" s="15">
        <v>70</v>
      </c>
    </row>
    <row r="11" spans="2:19" x14ac:dyDescent="0.25">
      <c r="B11" s="19">
        <v>8</v>
      </c>
      <c r="C11" s="19">
        <v>0</v>
      </c>
      <c r="D11" s="19">
        <v>2</v>
      </c>
      <c r="E11" s="19">
        <v>2</v>
      </c>
      <c r="G11" s="19">
        <v>8</v>
      </c>
      <c r="H11" s="19">
        <v>2</v>
      </c>
      <c r="I11" s="19">
        <v>0</v>
      </c>
      <c r="J11" s="19">
        <v>2</v>
      </c>
      <c r="L11" s="19">
        <v>8</v>
      </c>
      <c r="M11" s="50">
        <v>0</v>
      </c>
      <c r="N11" s="50">
        <v>5</v>
      </c>
      <c r="O11" s="19">
        <v>5</v>
      </c>
    </row>
    <row r="12" spans="2:19" x14ac:dyDescent="0.25">
      <c r="B12" s="19">
        <v>9</v>
      </c>
      <c r="C12" s="19">
        <v>1</v>
      </c>
      <c r="D12" s="19">
        <v>0</v>
      </c>
      <c r="E12" s="19">
        <v>1</v>
      </c>
      <c r="G12" s="19">
        <v>9</v>
      </c>
      <c r="H12" s="19">
        <v>3</v>
      </c>
      <c r="I12" s="19">
        <v>1</v>
      </c>
      <c r="J12" s="19">
        <v>4</v>
      </c>
      <c r="L12" s="19">
        <v>9</v>
      </c>
      <c r="M12" s="50">
        <v>3</v>
      </c>
      <c r="N12" s="50">
        <v>6</v>
      </c>
      <c r="O12" s="19">
        <v>9</v>
      </c>
      <c r="R12" s="23" t="s">
        <v>185</v>
      </c>
      <c r="S12" s="23" t="s">
        <v>187</v>
      </c>
    </row>
    <row r="13" spans="2:19" x14ac:dyDescent="0.25">
      <c r="B13" s="19">
        <v>10</v>
      </c>
      <c r="C13" s="19">
        <v>1</v>
      </c>
      <c r="D13" s="19">
        <v>1</v>
      </c>
      <c r="E13" s="19">
        <v>2</v>
      </c>
      <c r="G13" s="19">
        <v>10</v>
      </c>
      <c r="H13" s="19">
        <v>3</v>
      </c>
      <c r="I13" s="19">
        <v>2</v>
      </c>
      <c r="J13" s="19">
        <v>5</v>
      </c>
      <c r="L13" s="19">
        <v>10</v>
      </c>
      <c r="M13" s="50">
        <v>0</v>
      </c>
      <c r="N13" s="50">
        <v>1</v>
      </c>
      <c r="O13" s="19">
        <v>1</v>
      </c>
      <c r="R13" s="19" t="s">
        <v>149</v>
      </c>
      <c r="S13" s="19">
        <v>90</v>
      </c>
    </row>
    <row r="14" spans="2:19" x14ac:dyDescent="0.25">
      <c r="B14" s="23" t="s">
        <v>40</v>
      </c>
      <c r="C14" s="23"/>
      <c r="D14" s="23"/>
      <c r="E14" s="21">
        <v>33</v>
      </c>
      <c r="G14" s="19">
        <v>11</v>
      </c>
      <c r="H14" s="19">
        <v>0</v>
      </c>
      <c r="I14" s="19">
        <v>1</v>
      </c>
      <c r="J14" s="19">
        <v>1</v>
      </c>
      <c r="L14" s="19">
        <v>11</v>
      </c>
      <c r="M14" s="50">
        <v>0</v>
      </c>
      <c r="N14" s="50">
        <v>1</v>
      </c>
      <c r="O14" s="19">
        <v>1</v>
      </c>
      <c r="R14" s="19" t="s">
        <v>150</v>
      </c>
      <c r="S14" s="15">
        <v>100</v>
      </c>
    </row>
    <row r="15" spans="2:19" x14ac:dyDescent="0.25">
      <c r="G15" s="19">
        <v>12</v>
      </c>
      <c r="H15" s="19">
        <v>1</v>
      </c>
      <c r="I15" s="19">
        <v>3</v>
      </c>
      <c r="J15" s="19">
        <v>4</v>
      </c>
      <c r="L15" s="19">
        <v>12</v>
      </c>
      <c r="M15" s="19">
        <v>0</v>
      </c>
      <c r="N15" s="19">
        <v>0</v>
      </c>
      <c r="O15" s="19">
        <v>0</v>
      </c>
      <c r="R15" s="19" t="s">
        <v>151</v>
      </c>
      <c r="S15" s="15">
        <v>80</v>
      </c>
    </row>
    <row r="16" spans="2:19" x14ac:dyDescent="0.25">
      <c r="G16" s="19">
        <v>13</v>
      </c>
      <c r="H16" s="19">
        <v>1</v>
      </c>
      <c r="I16" s="19">
        <v>1</v>
      </c>
      <c r="J16" s="19">
        <v>2</v>
      </c>
      <c r="L16" s="19">
        <v>13</v>
      </c>
      <c r="M16" s="50">
        <v>1</v>
      </c>
      <c r="N16" s="50">
        <v>2</v>
      </c>
      <c r="O16" s="19">
        <v>3</v>
      </c>
    </row>
    <row r="17" spans="7:15" x14ac:dyDescent="0.25">
      <c r="G17" s="19">
        <v>14</v>
      </c>
      <c r="H17" s="19">
        <v>0</v>
      </c>
      <c r="I17" s="19">
        <v>1</v>
      </c>
      <c r="J17" s="19">
        <v>1</v>
      </c>
      <c r="L17" s="19">
        <v>14</v>
      </c>
      <c r="M17" s="50">
        <v>0</v>
      </c>
      <c r="N17" s="50">
        <v>1</v>
      </c>
      <c r="O17" s="19">
        <v>1</v>
      </c>
    </row>
    <row r="18" spans="7:15" x14ac:dyDescent="0.25">
      <c r="G18" s="19">
        <v>15</v>
      </c>
      <c r="H18" s="19">
        <v>0</v>
      </c>
      <c r="I18" s="19">
        <v>1</v>
      </c>
      <c r="J18" s="19">
        <v>1</v>
      </c>
      <c r="L18" s="19">
        <v>15</v>
      </c>
      <c r="M18" s="50">
        <v>5</v>
      </c>
      <c r="N18" s="50">
        <v>1</v>
      </c>
      <c r="O18" s="19">
        <v>6</v>
      </c>
    </row>
    <row r="19" spans="7:15" x14ac:dyDescent="0.25">
      <c r="G19" s="19">
        <v>16</v>
      </c>
      <c r="H19" s="19">
        <v>2</v>
      </c>
      <c r="I19" s="19">
        <v>0</v>
      </c>
      <c r="J19" s="19">
        <v>2</v>
      </c>
      <c r="L19" s="19">
        <v>16</v>
      </c>
      <c r="M19" s="19">
        <v>0</v>
      </c>
      <c r="N19" s="19">
        <v>0</v>
      </c>
      <c r="O19" s="19">
        <v>0</v>
      </c>
    </row>
    <row r="20" spans="7:15" x14ac:dyDescent="0.25">
      <c r="G20" s="19">
        <v>17</v>
      </c>
      <c r="H20" s="19">
        <v>1</v>
      </c>
      <c r="I20" s="19">
        <v>0</v>
      </c>
      <c r="J20" s="19">
        <v>1</v>
      </c>
      <c r="L20" s="19">
        <v>17</v>
      </c>
      <c r="M20" s="50">
        <v>1</v>
      </c>
      <c r="N20" s="50">
        <v>3</v>
      </c>
      <c r="O20" s="19">
        <v>4</v>
      </c>
    </row>
    <row r="21" spans="7:15" x14ac:dyDescent="0.25">
      <c r="G21" s="23" t="s">
        <v>40</v>
      </c>
      <c r="H21" s="23"/>
      <c r="I21" s="23"/>
      <c r="J21" s="21">
        <v>70</v>
      </c>
      <c r="L21" s="19">
        <v>18</v>
      </c>
      <c r="M21" s="50">
        <v>0</v>
      </c>
      <c r="N21" s="50">
        <v>2</v>
      </c>
      <c r="O21" s="19">
        <v>2</v>
      </c>
    </row>
    <row r="22" spans="7:15" x14ac:dyDescent="0.25">
      <c r="L22" s="19">
        <v>19</v>
      </c>
      <c r="M22" s="50">
        <v>1</v>
      </c>
      <c r="N22" s="50">
        <v>1</v>
      </c>
      <c r="O22" s="19">
        <v>2</v>
      </c>
    </row>
    <row r="23" spans="7:15" x14ac:dyDescent="0.25">
      <c r="L23" s="19">
        <v>20</v>
      </c>
      <c r="M23" s="50">
        <v>2</v>
      </c>
      <c r="N23" s="50">
        <v>0</v>
      </c>
      <c r="O23" s="19">
        <v>2</v>
      </c>
    </row>
    <row r="24" spans="7:15" x14ac:dyDescent="0.25">
      <c r="L24" s="23" t="s">
        <v>40</v>
      </c>
      <c r="M24" s="23"/>
      <c r="N24" s="23"/>
      <c r="O24" s="21">
        <v>60</v>
      </c>
    </row>
  </sheetData>
  <mergeCells count="3">
    <mergeCell ref="B2:E2"/>
    <mergeCell ref="G2:J2"/>
    <mergeCell ref="L2:O2"/>
  </mergeCells>
  <conditionalFormatting sqref="E4:E13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{0B80CCC7-DAA5-4196-AEC1-4B042680C136}</x14:id>
        </ext>
      </extLst>
    </cfRule>
  </conditionalFormatting>
  <conditionalFormatting sqref="J4:J2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{964BB501-B958-49F1-928D-5EEBCD9CEA4A}</x14:id>
        </ext>
      </extLst>
    </cfRule>
  </conditionalFormatting>
  <conditionalFormatting sqref="O4:O23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{97BD9270-E92D-4FB9-9BC9-CDC160186633}</x14:id>
        </ext>
      </extLst>
    </cfRule>
  </conditionalFormatting>
  <conditionalFormatting sqref="S5:S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3:S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80CCC7-DAA5-4196-AEC1-4B042680C1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E4:E13</xm:sqref>
        </x14:conditionalFormatting>
        <x14:conditionalFormatting xmlns:xm="http://schemas.microsoft.com/office/excel/2006/main">
          <x14:cfRule type="dataBar" id="{964BB501-B958-49F1-928D-5EEBCD9CEA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J4:J20</xm:sqref>
        </x14:conditionalFormatting>
        <x14:conditionalFormatting xmlns:xm="http://schemas.microsoft.com/office/excel/2006/main">
          <x14:cfRule type="dataBar" id="{97BD9270-E92D-4FB9-9BC9-CDC1601866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O4:O23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2E06-D303-461D-9282-DB9ECB192E3C}">
  <dimension ref="B2:W35"/>
  <sheetViews>
    <sheetView workbookViewId="0">
      <selection activeCell="R15" sqref="R15"/>
    </sheetView>
  </sheetViews>
  <sheetFormatPr defaultColWidth="8.85546875" defaultRowHeight="15" x14ac:dyDescent="0.25"/>
  <cols>
    <col min="1" max="1" width="8.85546875" style="13"/>
    <col min="2" max="2" width="14.5703125" style="13" bestFit="1" customWidth="1"/>
    <col min="3" max="3" width="14.7109375" style="13" bestFit="1" customWidth="1"/>
    <col min="4" max="7" width="8.85546875" style="13"/>
    <col min="8" max="8" width="11.42578125" style="13" customWidth="1"/>
    <col min="9" max="9" width="14.7109375" style="13" bestFit="1" customWidth="1"/>
    <col min="10" max="12" width="8.85546875" style="13"/>
    <col min="13" max="13" width="10.28515625" style="13" customWidth="1"/>
    <col min="14" max="14" width="14.7109375" style="13" bestFit="1" customWidth="1"/>
    <col min="15" max="15" width="14.28515625" style="13" customWidth="1"/>
    <col min="16" max="16384" width="8.85546875" style="13"/>
  </cols>
  <sheetData>
    <row r="2" spans="2:23" x14ac:dyDescent="0.25">
      <c r="B2" s="63" t="s">
        <v>188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2:23" x14ac:dyDescent="0.25">
      <c r="B4" s="23" t="s">
        <v>11</v>
      </c>
      <c r="C4" s="23" t="s">
        <v>189</v>
      </c>
      <c r="D4" s="23" t="s">
        <v>190</v>
      </c>
      <c r="E4" s="23" t="s">
        <v>191</v>
      </c>
      <c r="F4" s="23" t="s">
        <v>192</v>
      </c>
      <c r="G4" s="19"/>
      <c r="H4" s="23" t="s">
        <v>11</v>
      </c>
      <c r="I4" s="23" t="s">
        <v>189</v>
      </c>
      <c r="J4" s="23" t="s">
        <v>191</v>
      </c>
      <c r="K4" s="23" t="s">
        <v>192</v>
      </c>
      <c r="L4" s="19"/>
      <c r="M4" s="23" t="s">
        <v>11</v>
      </c>
      <c r="N4" s="23" t="s">
        <v>189</v>
      </c>
      <c r="O4" s="23" t="s">
        <v>191</v>
      </c>
      <c r="P4" s="23" t="s">
        <v>192</v>
      </c>
      <c r="R4" s="23" t="s">
        <v>1</v>
      </c>
      <c r="S4" s="23" t="s">
        <v>192</v>
      </c>
      <c r="W4" s="15"/>
    </row>
    <row r="5" spans="2:23" x14ac:dyDescent="0.25">
      <c r="B5" s="19" t="s">
        <v>149</v>
      </c>
      <c r="C5" s="15">
        <v>30.877812086457872</v>
      </c>
      <c r="D5" s="25">
        <v>1.68</v>
      </c>
      <c r="E5" s="15">
        <v>18.37965005146302</v>
      </c>
      <c r="F5" s="25">
        <v>4.0573219004852143</v>
      </c>
      <c r="G5" s="19"/>
      <c r="H5" s="19" t="s">
        <v>150</v>
      </c>
      <c r="I5" s="15">
        <v>8.6880973066898353</v>
      </c>
      <c r="J5" s="15">
        <v>5.1714864920772827</v>
      </c>
      <c r="K5" s="25">
        <v>4.4087877363822656</v>
      </c>
      <c r="L5" s="19"/>
      <c r="M5" s="15" t="s">
        <v>151</v>
      </c>
      <c r="N5" s="51">
        <v>15.864621893178199</v>
      </c>
      <c r="O5" s="15">
        <v>9.4432273173679793</v>
      </c>
      <c r="P5" s="25">
        <v>3.5590215596793078</v>
      </c>
      <c r="R5" s="19" t="s">
        <v>149</v>
      </c>
      <c r="S5" s="19">
        <v>4.0599999999999996</v>
      </c>
      <c r="W5" s="15"/>
    </row>
    <row r="6" spans="2:23" x14ac:dyDescent="0.25">
      <c r="B6" s="19" t="s">
        <v>149</v>
      </c>
      <c r="C6" s="15">
        <v>41.3564929693962</v>
      </c>
      <c r="D6" s="15"/>
      <c r="E6" s="15">
        <v>24.616960100831072</v>
      </c>
      <c r="F6" s="15"/>
      <c r="G6" s="19"/>
      <c r="H6" s="19" t="s">
        <v>150</v>
      </c>
      <c r="I6" s="15">
        <v>8.2987551867219924</v>
      </c>
      <c r="J6" s="15">
        <v>4.9397352301916619</v>
      </c>
      <c r="K6" s="15"/>
      <c r="L6" s="19"/>
      <c r="M6" s="15" t="s">
        <v>151</v>
      </c>
      <c r="N6" s="51">
        <v>5.5865921787709496</v>
      </c>
      <c r="O6" s="15">
        <v>3.3273809523809526</v>
      </c>
      <c r="P6" s="15"/>
      <c r="R6" s="19" t="s">
        <v>150</v>
      </c>
      <c r="S6" s="19">
        <v>4.41</v>
      </c>
      <c r="W6" s="15"/>
    </row>
    <row r="7" spans="2:23" x14ac:dyDescent="0.25">
      <c r="B7" s="19" t="s">
        <v>149</v>
      </c>
      <c r="C7" s="15">
        <v>25.862068965517238</v>
      </c>
      <c r="D7" s="15"/>
      <c r="E7" s="15">
        <v>15.394088669950738</v>
      </c>
      <c r="F7" s="15"/>
      <c r="G7" s="19"/>
      <c r="H7" s="19" t="s">
        <v>150</v>
      </c>
      <c r="I7" s="15">
        <v>10.729613733905579</v>
      </c>
      <c r="J7" s="15">
        <v>6.3866748416104633</v>
      </c>
      <c r="K7" s="15"/>
      <c r="L7" s="19"/>
      <c r="M7" s="15" t="s">
        <v>151</v>
      </c>
      <c r="N7" s="51">
        <v>11.750881316098706</v>
      </c>
      <c r="O7" s="15">
        <v>6.9940476190476195</v>
      </c>
      <c r="P7" s="15"/>
      <c r="R7" s="19" t="s">
        <v>151</v>
      </c>
      <c r="S7" s="19">
        <v>3.56</v>
      </c>
      <c r="W7" s="15"/>
    </row>
    <row r="8" spans="2:23" x14ac:dyDescent="0.25">
      <c r="B8" s="19" t="s">
        <v>149</v>
      </c>
      <c r="C8" s="15">
        <v>13.793103448275863</v>
      </c>
      <c r="D8" s="15"/>
      <c r="E8" s="15">
        <v>8.2101806239737289</v>
      </c>
      <c r="F8" s="15"/>
      <c r="G8" s="19"/>
      <c r="H8" s="19" t="s">
        <v>150</v>
      </c>
      <c r="I8" s="15">
        <v>17.133066818960593</v>
      </c>
      <c r="J8" s="15">
        <v>10.198254058905116</v>
      </c>
      <c r="K8" s="15"/>
      <c r="L8" s="19"/>
      <c r="M8" s="15" t="s">
        <v>151</v>
      </c>
      <c r="N8" s="51">
        <v>4.8332527791203477</v>
      </c>
      <c r="O8" s="15">
        <v>2.875</v>
      </c>
      <c r="P8" s="15"/>
      <c r="R8" s="19"/>
      <c r="S8" s="19"/>
    </row>
    <row r="9" spans="2:23" x14ac:dyDescent="0.25">
      <c r="B9" s="19" t="s">
        <v>149</v>
      </c>
      <c r="C9" s="15">
        <v>4.1963911036508597</v>
      </c>
      <c r="D9" s="15"/>
      <c r="E9" s="15">
        <v>2.4978518474112259</v>
      </c>
      <c r="F9" s="15"/>
      <c r="G9" s="19"/>
      <c r="H9" s="19" t="s">
        <v>150</v>
      </c>
      <c r="I9" s="15">
        <v>35.460992907801419</v>
      </c>
      <c r="J9" s="15">
        <v>21.107733873691323</v>
      </c>
      <c r="K9" s="15"/>
      <c r="L9" s="19"/>
      <c r="M9" s="15" t="s">
        <v>151</v>
      </c>
      <c r="N9" s="51">
        <v>19.992003198720514</v>
      </c>
      <c r="O9" s="15">
        <v>11.898809523809524</v>
      </c>
      <c r="P9" s="15"/>
      <c r="R9" s="19"/>
      <c r="S9" s="19"/>
    </row>
    <row r="10" spans="2:23" x14ac:dyDescent="0.25">
      <c r="B10" s="19" t="s">
        <v>149</v>
      </c>
      <c r="C10" s="15">
        <v>4.0883074407195421</v>
      </c>
      <c r="D10" s="15"/>
      <c r="E10" s="15">
        <v>2.4335163337616321</v>
      </c>
      <c r="F10" s="15"/>
      <c r="G10" s="19"/>
      <c r="H10" s="19" t="s">
        <v>150</v>
      </c>
      <c r="I10" s="15">
        <v>25.728987993138936</v>
      </c>
      <c r="J10" s="15">
        <v>15.314873805439843</v>
      </c>
      <c r="K10" s="15"/>
      <c r="L10" s="19"/>
      <c r="M10" s="15" t="s">
        <v>151</v>
      </c>
      <c r="N10" s="51">
        <v>5.0428643469490666</v>
      </c>
      <c r="O10" s="15">
        <v>3</v>
      </c>
      <c r="P10" s="15"/>
      <c r="R10" s="19"/>
      <c r="S10" s="15"/>
    </row>
    <row r="11" spans="2:23" x14ac:dyDescent="0.25">
      <c r="B11" s="19" t="s">
        <v>149</v>
      </c>
      <c r="C11" s="15">
        <v>3.7778617302606725</v>
      </c>
      <c r="D11" s="15"/>
      <c r="E11" s="15">
        <v>2.2487272203932576</v>
      </c>
      <c r="F11" s="15"/>
      <c r="G11" s="19"/>
      <c r="H11" s="19" t="s">
        <v>150</v>
      </c>
      <c r="I11" s="15">
        <v>15.060240963855421</v>
      </c>
      <c r="J11" s="15">
        <v>8.964429145152037</v>
      </c>
      <c r="K11" s="15"/>
      <c r="L11" s="19"/>
      <c r="M11" s="15" t="s">
        <v>151</v>
      </c>
      <c r="N11" s="51">
        <v>5.4614964500273073</v>
      </c>
      <c r="O11" s="15">
        <f>N11/D5</f>
        <v>3.2508907440638737</v>
      </c>
      <c r="P11" s="15"/>
      <c r="R11" s="19"/>
      <c r="S11" s="19"/>
    </row>
    <row r="12" spans="2:23" x14ac:dyDescent="0.25">
      <c r="B12" s="19" t="s">
        <v>149</v>
      </c>
      <c r="C12" s="15">
        <v>5.0301810865191143</v>
      </c>
      <c r="D12" s="15"/>
      <c r="E12" s="15">
        <v>2.9941554086423299</v>
      </c>
      <c r="F12" s="15"/>
      <c r="G12" s="19"/>
      <c r="H12" s="19" t="s">
        <v>150</v>
      </c>
      <c r="I12" s="15">
        <v>17.513134851138354</v>
      </c>
      <c r="J12" s="15">
        <v>10.424485030439497</v>
      </c>
      <c r="K12" s="15"/>
      <c r="L12" s="19"/>
      <c r="M12" s="15" t="s">
        <v>151</v>
      </c>
      <c r="N12" s="51">
        <v>11.56737998843262</v>
      </c>
      <c r="O12" s="15">
        <f>N12/D5</f>
        <v>6.8853452312098931</v>
      </c>
      <c r="P12" s="15"/>
      <c r="R12" s="19"/>
      <c r="S12" s="19"/>
    </row>
    <row r="13" spans="2:23" x14ac:dyDescent="0.25">
      <c r="B13" s="19" t="s">
        <v>149</v>
      </c>
      <c r="C13" s="15">
        <v>2.2846698652044779</v>
      </c>
      <c r="D13" s="15"/>
      <c r="E13" s="15">
        <v>1.3599225388121894</v>
      </c>
      <c r="F13" s="15"/>
      <c r="G13" s="19"/>
      <c r="H13" s="19" t="s">
        <v>150</v>
      </c>
      <c r="I13" s="15">
        <v>17.513134851138354</v>
      </c>
      <c r="J13" s="15">
        <v>10.424485030439497</v>
      </c>
      <c r="K13" s="15"/>
      <c r="L13" s="19"/>
      <c r="M13" s="15" t="s">
        <v>151</v>
      </c>
      <c r="N13" s="51">
        <v>27.611596870685688</v>
      </c>
      <c r="O13" s="15">
        <f>N13/D5</f>
        <v>16.435474327789102</v>
      </c>
      <c r="P13" s="15"/>
      <c r="R13" s="19"/>
      <c r="S13" s="19"/>
    </row>
    <row r="14" spans="2:23" x14ac:dyDescent="0.25">
      <c r="B14" s="19" t="s">
        <v>149</v>
      </c>
      <c r="C14" s="15">
        <v>4.2863266180882986</v>
      </c>
      <c r="D14" s="15"/>
      <c r="E14" s="15">
        <v>2.5513848917192257</v>
      </c>
      <c r="F14" s="15"/>
      <c r="G14" s="19"/>
      <c r="H14" s="19" t="s">
        <v>150</v>
      </c>
      <c r="I14" s="15">
        <v>10.302197802197801</v>
      </c>
      <c r="J14" s="15">
        <v>6.1322605965463106</v>
      </c>
      <c r="K14" s="15"/>
      <c r="L14" s="19"/>
      <c r="M14" s="15" t="s">
        <v>151</v>
      </c>
      <c r="N14" s="51">
        <v>5.3269410041283791</v>
      </c>
      <c r="O14" s="15">
        <f>N14/D5</f>
        <v>3.170798216743083</v>
      </c>
      <c r="P14" s="15"/>
      <c r="R14" s="19"/>
      <c r="S14" s="19"/>
    </row>
    <row r="15" spans="2:23" x14ac:dyDescent="0.25">
      <c r="B15" s="19" t="s">
        <v>149</v>
      </c>
      <c r="C15" s="15">
        <v>7.5910931174089074</v>
      </c>
      <c r="D15" s="15"/>
      <c r="E15" s="15">
        <v>4.5185078079814929</v>
      </c>
      <c r="F15" s="15"/>
      <c r="G15" s="19"/>
      <c r="H15" s="19" t="s">
        <v>150</v>
      </c>
      <c r="I15" s="15">
        <v>4.1631973355537051</v>
      </c>
      <c r="J15" s="15">
        <v>2.4780936521153007</v>
      </c>
      <c r="K15" s="15"/>
      <c r="L15" s="19"/>
      <c r="M15" s="15" t="s">
        <v>151</v>
      </c>
      <c r="N15" s="51">
        <v>2.2675736961451247</v>
      </c>
      <c r="O15" s="15">
        <f>N15/D5</f>
        <v>1.3497462477054314</v>
      </c>
      <c r="P15" s="15"/>
      <c r="R15" s="19"/>
      <c r="S15" s="19"/>
    </row>
    <row r="16" spans="2:23" x14ac:dyDescent="0.25">
      <c r="B16" s="19" t="s">
        <v>149</v>
      </c>
      <c r="C16" s="15">
        <v>3.0576364470264483</v>
      </c>
      <c r="D16" s="15"/>
      <c r="E16" s="15">
        <v>1.8200216946586003</v>
      </c>
      <c r="F16" s="15"/>
      <c r="G16" s="19"/>
      <c r="H16" s="19" t="s">
        <v>150</v>
      </c>
      <c r="I16" s="15">
        <v>9.433962264150944</v>
      </c>
      <c r="J16" s="15">
        <v>5.6154537286612767</v>
      </c>
      <c r="K16" s="15"/>
      <c r="L16" s="19"/>
      <c r="M16" s="15" t="s">
        <v>151</v>
      </c>
      <c r="N16" s="51">
        <v>2.3551577955723033</v>
      </c>
      <c r="O16" s="15">
        <f>N16/D5</f>
        <v>1.4018796402216092</v>
      </c>
      <c r="P16" s="15"/>
      <c r="R16" s="19"/>
      <c r="S16" s="19"/>
    </row>
    <row r="17" spans="2:19" x14ac:dyDescent="0.25">
      <c r="B17" s="19" t="s">
        <v>149</v>
      </c>
      <c r="C17" s="15">
        <v>2.0312817387771682</v>
      </c>
      <c r="D17" s="15"/>
      <c r="E17" s="15">
        <v>1.2090962730816477</v>
      </c>
      <c r="F17" s="15"/>
      <c r="G17" s="19"/>
      <c r="H17" s="19" t="s">
        <v>150</v>
      </c>
      <c r="I17" s="15">
        <v>8.5215168299957398</v>
      </c>
      <c r="J17" s="15">
        <v>5.0723314464260358</v>
      </c>
      <c r="K17" s="15"/>
      <c r="L17" s="19"/>
      <c r="M17" s="15" t="s">
        <v>151</v>
      </c>
      <c r="N17" s="51">
        <v>9.2558311736393932</v>
      </c>
      <c r="O17" s="15">
        <f>N17/D5</f>
        <v>5.5094233176424963</v>
      </c>
      <c r="P17" s="15"/>
      <c r="R17" s="19"/>
      <c r="S17" s="19"/>
    </row>
    <row r="18" spans="2:19" x14ac:dyDescent="0.25">
      <c r="B18" s="19"/>
      <c r="C18" s="19"/>
      <c r="D18" s="19"/>
      <c r="E18" s="19"/>
      <c r="F18" s="19"/>
      <c r="G18" s="19"/>
      <c r="H18" s="19" t="s">
        <v>150</v>
      </c>
      <c r="I18" s="15">
        <v>3.3738191632928474</v>
      </c>
      <c r="J18" s="15">
        <v>2.008225692436219</v>
      </c>
      <c r="K18" s="15"/>
      <c r="L18" s="19"/>
      <c r="M18" s="15" t="s">
        <v>151</v>
      </c>
      <c r="N18" s="51">
        <v>17.055144968732233</v>
      </c>
      <c r="O18" s="15">
        <f>N18/D5</f>
        <v>10.151872005197758</v>
      </c>
      <c r="P18" s="15"/>
      <c r="R18" s="19"/>
      <c r="S18" s="19"/>
    </row>
    <row r="19" spans="2:19" x14ac:dyDescent="0.25">
      <c r="B19" s="19"/>
      <c r="C19" s="19"/>
      <c r="D19" s="19"/>
      <c r="E19" s="19"/>
      <c r="F19" s="19"/>
      <c r="G19" s="19"/>
      <c r="H19" s="19" t="s">
        <v>150</v>
      </c>
      <c r="I19" s="15">
        <v>6.9686411149825789</v>
      </c>
      <c r="J19" s="15">
        <v>4.148000663680107</v>
      </c>
      <c r="K19" s="15"/>
      <c r="L19" s="19"/>
      <c r="M19" s="15" t="s">
        <v>151</v>
      </c>
      <c r="N19" s="51">
        <v>2.7019724398811134</v>
      </c>
      <c r="O19" s="15">
        <f>N19/D5</f>
        <v>1.6083169285006629</v>
      </c>
      <c r="P19" s="15"/>
      <c r="R19" s="19"/>
      <c r="S19" s="19"/>
    </row>
    <row r="20" spans="2:19" x14ac:dyDescent="0.25">
      <c r="B20" s="19"/>
      <c r="C20" s="19"/>
      <c r="D20" s="19"/>
      <c r="E20" s="19"/>
      <c r="F20" s="19"/>
      <c r="G20" s="19"/>
      <c r="H20" s="19" t="s">
        <v>150</v>
      </c>
      <c r="I20" s="15">
        <v>21.525215252152524</v>
      </c>
      <c r="J20" s="15">
        <v>12.812628126281265</v>
      </c>
      <c r="K20" s="15"/>
      <c r="L20" s="19"/>
      <c r="M20" s="15" t="s">
        <v>151</v>
      </c>
      <c r="N20" s="51">
        <v>3.4952813701502969</v>
      </c>
      <c r="O20" s="15">
        <f>N20/D5</f>
        <v>2.0805246250894625</v>
      </c>
      <c r="P20" s="15"/>
      <c r="R20" s="19"/>
      <c r="S20" s="19"/>
    </row>
    <row r="21" spans="2:19" x14ac:dyDescent="0.25">
      <c r="B21" s="19"/>
      <c r="C21" s="19"/>
      <c r="D21" s="19"/>
      <c r="E21" s="19"/>
      <c r="F21" s="19"/>
      <c r="G21" s="19"/>
      <c r="H21" s="19" t="s">
        <v>150</v>
      </c>
      <c r="I21" s="15">
        <v>10.431154381084839</v>
      </c>
      <c r="J21" s="15">
        <v>6.2090204649314522</v>
      </c>
      <c r="K21" s="15"/>
      <c r="L21" s="19"/>
      <c r="M21" s="15" t="s">
        <v>151</v>
      </c>
      <c r="N21" s="51">
        <v>4.9937578027465666</v>
      </c>
      <c r="O21" s="15">
        <f>N21/D5</f>
        <v>2.972474882587242</v>
      </c>
      <c r="P21" s="15"/>
      <c r="R21" s="19"/>
      <c r="S21" s="19"/>
    </row>
    <row r="22" spans="2:19" x14ac:dyDescent="0.25">
      <c r="B22" s="19"/>
      <c r="C22" s="19"/>
      <c r="D22" s="19"/>
      <c r="E22" s="19"/>
      <c r="F22" s="19"/>
      <c r="G22" s="19"/>
      <c r="H22" s="19" t="s">
        <v>150</v>
      </c>
      <c r="I22" s="15">
        <v>10.38691249026227</v>
      </c>
      <c r="J22" s="15">
        <v>6.1826860061084945</v>
      </c>
      <c r="K22" s="15"/>
      <c r="L22" s="19"/>
      <c r="M22" s="15" t="s">
        <v>151</v>
      </c>
      <c r="N22" s="51">
        <v>3.7878787878787876</v>
      </c>
      <c r="O22" s="15">
        <f>N22/D5</f>
        <v>2.2546897546897546</v>
      </c>
      <c r="P22" s="15"/>
      <c r="R22" s="19"/>
      <c r="S22" s="19"/>
    </row>
    <row r="23" spans="2:19" x14ac:dyDescent="0.25">
      <c r="B23" s="19"/>
      <c r="C23" s="19"/>
      <c r="D23" s="19"/>
      <c r="E23" s="19"/>
      <c r="F23" s="19"/>
      <c r="G23" s="19"/>
      <c r="H23" s="19" t="s">
        <v>150</v>
      </c>
      <c r="I23" s="15">
        <v>11.160714285714285</v>
      </c>
      <c r="J23" s="15">
        <v>6.6432823129251695</v>
      </c>
      <c r="K23" s="15"/>
      <c r="L23" s="19"/>
      <c r="M23" s="15" t="s">
        <v>151</v>
      </c>
      <c r="N23" s="51">
        <v>1.6789791806581598</v>
      </c>
      <c r="O23" s="15">
        <f>N23/D5</f>
        <v>0.99939236943938081</v>
      </c>
      <c r="P23" s="15"/>
      <c r="R23" s="19"/>
      <c r="S23" s="19"/>
    </row>
    <row r="24" spans="2:19" x14ac:dyDescent="0.25">
      <c r="B24" s="19"/>
      <c r="C24" s="19"/>
      <c r="D24" s="19"/>
      <c r="E24" s="19"/>
      <c r="F24" s="19"/>
      <c r="G24" s="19"/>
      <c r="H24" s="19" t="s">
        <v>150</v>
      </c>
      <c r="I24" s="15">
        <v>4.3802014892685062</v>
      </c>
      <c r="J24" s="15">
        <v>2.6072627912312538</v>
      </c>
      <c r="K24" s="15"/>
      <c r="L24" s="19"/>
      <c r="M24" s="15" t="s">
        <v>151</v>
      </c>
      <c r="N24" s="51">
        <v>8.0515297906602257</v>
      </c>
      <c r="O24" s="15">
        <f>N24/D5</f>
        <v>4.792577256345373</v>
      </c>
      <c r="P24" s="15"/>
      <c r="R24" s="19"/>
      <c r="S24" s="19"/>
    </row>
    <row r="25" spans="2:19" x14ac:dyDescent="0.25">
      <c r="B25" s="19"/>
      <c r="C25" s="19"/>
      <c r="D25" s="19"/>
      <c r="E25" s="19"/>
      <c r="F25" s="19"/>
      <c r="G25" s="19"/>
      <c r="H25" s="19" t="s">
        <v>150</v>
      </c>
      <c r="I25" s="15">
        <v>1.918281220026856</v>
      </c>
      <c r="J25" s="15">
        <v>1.1418340595397953</v>
      </c>
      <c r="K25" s="15"/>
      <c r="L25" s="19"/>
      <c r="M25" s="15" t="s">
        <v>151</v>
      </c>
      <c r="N25" s="51">
        <v>4.1928721174004195</v>
      </c>
      <c r="O25" s="15">
        <f>N25/D5</f>
        <v>2.4957572127383449</v>
      </c>
      <c r="P25" s="15"/>
      <c r="R25" s="19"/>
      <c r="S25" s="19"/>
    </row>
    <row r="26" spans="2:19" x14ac:dyDescent="0.25">
      <c r="B26" s="19"/>
      <c r="C26" s="19"/>
      <c r="D26" s="19"/>
      <c r="E26" s="19"/>
      <c r="F26" s="19"/>
      <c r="G26" s="19"/>
      <c r="H26" s="19" t="s">
        <v>150</v>
      </c>
      <c r="I26" s="15">
        <v>3.1821797931583138</v>
      </c>
      <c r="J26" s="15">
        <v>1.8941546387847106</v>
      </c>
      <c r="K26" s="15"/>
      <c r="L26" s="19"/>
      <c r="M26" s="15" t="s">
        <v>151</v>
      </c>
      <c r="N26" s="51">
        <v>3.0312215822976656</v>
      </c>
      <c r="O26" s="15">
        <f>N26/D5</f>
        <v>1.8042985608914677</v>
      </c>
      <c r="P26" s="19"/>
      <c r="R26" s="19"/>
      <c r="S26" s="19"/>
    </row>
    <row r="27" spans="2:19" x14ac:dyDescent="0.25">
      <c r="B27" s="19"/>
      <c r="C27" s="19"/>
      <c r="D27" s="19"/>
      <c r="E27" s="19"/>
      <c r="F27" s="19"/>
      <c r="G27" s="19"/>
      <c r="H27" s="19" t="s">
        <v>150</v>
      </c>
      <c r="I27" s="15">
        <v>2.0695364238410594</v>
      </c>
      <c r="J27" s="15">
        <v>1.2318669189530116</v>
      </c>
      <c r="K27" s="15"/>
      <c r="L27" s="19"/>
      <c r="M27" s="19"/>
      <c r="N27" s="19"/>
      <c r="O27" s="15"/>
      <c r="P27" s="19"/>
      <c r="Q27" s="19"/>
      <c r="R27" s="19"/>
      <c r="S27" s="19"/>
    </row>
    <row r="28" spans="2:19" x14ac:dyDescent="0.25">
      <c r="B28" s="19"/>
      <c r="C28" s="19"/>
      <c r="D28" s="19"/>
      <c r="E28" s="19"/>
      <c r="F28" s="19"/>
      <c r="G28" s="19"/>
      <c r="H28" s="19" t="s">
        <v>150</v>
      </c>
      <c r="I28" s="15">
        <v>5.126452494873547</v>
      </c>
      <c r="J28" s="15">
        <v>3.0514598183771113</v>
      </c>
      <c r="K28" s="15"/>
      <c r="L28" s="19"/>
      <c r="M28" s="19"/>
      <c r="N28" s="19"/>
      <c r="O28" s="19"/>
      <c r="P28" s="19"/>
      <c r="Q28" s="19"/>
      <c r="R28" s="19"/>
      <c r="S28" s="19"/>
    </row>
    <row r="29" spans="2:19" x14ac:dyDescent="0.25">
      <c r="B29" s="19"/>
      <c r="C29" s="19"/>
      <c r="D29" s="19"/>
      <c r="E29" s="19"/>
      <c r="F29" s="19"/>
      <c r="G29" s="19"/>
      <c r="H29" s="19" t="s">
        <v>150</v>
      </c>
      <c r="I29" s="15">
        <v>2.1367521367521367</v>
      </c>
      <c r="J29" s="15">
        <v>1.2718762718762719</v>
      </c>
      <c r="K29" s="15"/>
      <c r="L29" s="19"/>
      <c r="M29" s="19"/>
      <c r="N29" s="19"/>
      <c r="O29" s="19"/>
      <c r="P29" s="19"/>
      <c r="Q29" s="19"/>
      <c r="R29" s="19"/>
      <c r="S29" s="19"/>
    </row>
    <row r="30" spans="2:19" x14ac:dyDescent="0.25">
      <c r="B30" s="19"/>
      <c r="C30" s="19"/>
      <c r="D30" s="19"/>
      <c r="E30" s="19"/>
      <c r="F30" s="19"/>
      <c r="G30" s="19"/>
      <c r="H30" s="19" t="s">
        <v>150</v>
      </c>
      <c r="I30" s="15">
        <v>1.7803097739006588</v>
      </c>
      <c r="J30" s="15">
        <v>1.0597081987503922</v>
      </c>
      <c r="K30" s="15"/>
      <c r="L30" s="19"/>
      <c r="M30" s="19"/>
      <c r="N30" s="19"/>
      <c r="O30" s="19"/>
      <c r="P30" s="19"/>
      <c r="Q30" s="19"/>
      <c r="R30" s="19"/>
      <c r="S30" s="19"/>
    </row>
    <row r="31" spans="2:19" x14ac:dyDescent="0.25">
      <c r="B31" s="19"/>
      <c r="C31" s="19"/>
      <c r="D31" s="19"/>
      <c r="E31" s="19"/>
      <c r="F31" s="19"/>
      <c r="G31" s="19"/>
      <c r="H31" s="19" t="s">
        <v>150</v>
      </c>
      <c r="I31" s="15">
        <v>2.3741690408357075</v>
      </c>
      <c r="J31" s="15">
        <v>1.4131958576403021</v>
      </c>
      <c r="K31" s="15"/>
      <c r="L31" s="19"/>
      <c r="M31" s="19"/>
      <c r="N31" s="19"/>
      <c r="O31" s="19"/>
      <c r="P31" s="19"/>
      <c r="Q31" s="19"/>
      <c r="R31" s="19"/>
      <c r="S31" s="19"/>
    </row>
    <row r="32" spans="2:19" x14ac:dyDescent="0.25">
      <c r="I32" s="15"/>
      <c r="J32" s="15"/>
      <c r="K32" s="15"/>
    </row>
    <row r="33" spans="9:11" x14ac:dyDescent="0.25">
      <c r="I33" s="15"/>
      <c r="J33" s="15"/>
      <c r="K33" s="15"/>
    </row>
    <row r="34" spans="9:11" x14ac:dyDescent="0.25">
      <c r="I34" s="15"/>
      <c r="J34" s="15"/>
      <c r="K34" s="15"/>
    </row>
    <row r="35" spans="9:11" x14ac:dyDescent="0.25">
      <c r="I35" s="15"/>
      <c r="J35" s="15"/>
      <c r="K35" s="15"/>
    </row>
  </sheetData>
  <mergeCells count="1">
    <mergeCell ref="B2:S2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2C91-A715-4666-9A26-5346699C8901}">
  <dimension ref="B2:L26"/>
  <sheetViews>
    <sheetView workbookViewId="0">
      <selection activeCell="E33" sqref="E33"/>
    </sheetView>
  </sheetViews>
  <sheetFormatPr defaultColWidth="8.85546875" defaultRowHeight="15" x14ac:dyDescent="0.25"/>
  <cols>
    <col min="1" max="1" width="8.85546875" style="13"/>
    <col min="2" max="3" width="29.140625" style="13" bestFit="1" customWidth="1"/>
    <col min="4" max="4" width="19" style="13" bestFit="1" customWidth="1"/>
    <col min="5" max="5" width="66" style="13" bestFit="1" customWidth="1"/>
    <col min="6" max="7" width="12" style="13" bestFit="1" customWidth="1"/>
    <col min="8" max="8" width="13.7109375" style="13" bestFit="1" customWidth="1"/>
    <col min="9" max="9" width="13.42578125" style="13" bestFit="1" customWidth="1"/>
    <col min="10" max="10" width="15.28515625" style="13" bestFit="1" customWidth="1"/>
    <col min="11" max="11" width="12" style="13" bestFit="1" customWidth="1"/>
    <col min="12" max="12" width="9.140625" style="13" bestFit="1" customWidth="1"/>
    <col min="13" max="16384" width="8.85546875" style="13"/>
  </cols>
  <sheetData>
    <row r="2" spans="2:12" s="22" customFormat="1" ht="14.25" x14ac:dyDescent="0.25">
      <c r="B2" s="38" t="s">
        <v>193</v>
      </c>
      <c r="C2" s="38" t="s">
        <v>194</v>
      </c>
      <c r="D2" s="38"/>
      <c r="E2" s="38" t="s">
        <v>195</v>
      </c>
      <c r="F2" s="38" t="s">
        <v>182</v>
      </c>
      <c r="G2" s="38" t="s">
        <v>196</v>
      </c>
      <c r="H2" s="38" t="s">
        <v>197</v>
      </c>
      <c r="I2" s="38" t="s">
        <v>198</v>
      </c>
      <c r="J2" s="38" t="s">
        <v>199</v>
      </c>
      <c r="K2" s="38" t="s">
        <v>200</v>
      </c>
      <c r="L2" s="38" t="s">
        <v>201</v>
      </c>
    </row>
    <row r="3" spans="2:12" ht="13.9" x14ac:dyDescent="0.25">
      <c r="B3" s="13" t="s">
        <v>202</v>
      </c>
      <c r="C3" s="15">
        <v>2.9411764705882351</v>
      </c>
      <c r="E3" s="13" t="s">
        <v>202</v>
      </c>
      <c r="F3" s="15">
        <v>2.9411764705882351</v>
      </c>
      <c r="G3" s="15">
        <v>36</v>
      </c>
      <c r="H3" s="15">
        <v>105.88235294117646</v>
      </c>
      <c r="I3" s="15">
        <v>2.9411764705882349E-2</v>
      </c>
      <c r="J3" s="15">
        <v>36</v>
      </c>
      <c r="K3" s="15">
        <v>1.0588235294117645</v>
      </c>
      <c r="L3" s="24">
        <v>14.5</v>
      </c>
    </row>
    <row r="4" spans="2:12" ht="13.9" x14ac:dyDescent="0.25">
      <c r="B4" s="13" t="s">
        <v>203</v>
      </c>
      <c r="C4" s="15">
        <v>2.9411764705882351</v>
      </c>
      <c r="E4" s="13" t="s">
        <v>203</v>
      </c>
      <c r="F4" s="15">
        <v>2.9411764705882351</v>
      </c>
      <c r="G4" s="15">
        <v>50</v>
      </c>
      <c r="H4" s="15">
        <v>147.05882352941174</v>
      </c>
      <c r="I4" s="15">
        <v>2.9411764705882349E-2</v>
      </c>
      <c r="J4" s="15">
        <v>50</v>
      </c>
      <c r="K4" s="15">
        <v>1.4705882352941175</v>
      </c>
    </row>
    <row r="5" spans="2:12" ht="13.9" x14ac:dyDescent="0.25">
      <c r="B5" s="13" t="s">
        <v>204</v>
      </c>
      <c r="C5" s="15">
        <v>52.941176470588239</v>
      </c>
      <c r="E5" s="13" t="s">
        <v>204</v>
      </c>
      <c r="F5" s="15">
        <v>52.941176470588239</v>
      </c>
      <c r="G5" s="15">
        <v>11</v>
      </c>
      <c r="H5" s="15">
        <v>582.35294117647061</v>
      </c>
      <c r="I5" s="15">
        <v>0.52941176470588236</v>
      </c>
      <c r="J5" s="15">
        <v>11</v>
      </c>
      <c r="K5" s="15">
        <v>5.8235294117647056</v>
      </c>
    </row>
    <row r="6" spans="2:12" ht="13.9" x14ac:dyDescent="0.25">
      <c r="B6" s="13" t="s">
        <v>205</v>
      </c>
      <c r="C6" s="15">
        <v>20.588235294117645</v>
      </c>
      <c r="E6" s="13" t="s">
        <v>205</v>
      </c>
      <c r="F6" s="15">
        <v>20.588235294117645</v>
      </c>
      <c r="G6" s="15">
        <v>4</v>
      </c>
      <c r="H6" s="15">
        <v>82.35294117647058</v>
      </c>
      <c r="I6" s="15">
        <v>0.20588235294117646</v>
      </c>
      <c r="J6" s="15">
        <v>4</v>
      </c>
      <c r="K6" s="15">
        <v>0.82352941176470584</v>
      </c>
    </row>
    <row r="7" spans="2:12" ht="13.9" x14ac:dyDescent="0.25">
      <c r="B7" s="13" t="s">
        <v>206</v>
      </c>
      <c r="C7" s="15">
        <v>2.9411764705882351</v>
      </c>
      <c r="E7" s="13" t="s">
        <v>206</v>
      </c>
      <c r="F7" s="15">
        <v>2.9411764705882351</v>
      </c>
      <c r="G7" s="15">
        <v>1</v>
      </c>
      <c r="H7" s="15">
        <v>2.9411764705882351</v>
      </c>
      <c r="I7" s="15">
        <v>2.9411764705882349E-2</v>
      </c>
      <c r="J7" s="15">
        <v>1</v>
      </c>
      <c r="K7" s="15">
        <v>2.9411764705882349E-2</v>
      </c>
    </row>
    <row r="8" spans="2:12" ht="13.9" x14ac:dyDescent="0.25">
      <c r="B8" s="13" t="s">
        <v>207</v>
      </c>
      <c r="C8" s="15">
        <v>17.647058823529413</v>
      </c>
      <c r="E8" s="13" t="s">
        <v>207</v>
      </c>
      <c r="F8" s="15">
        <v>17.647058823529413</v>
      </c>
      <c r="G8" s="15">
        <v>30</v>
      </c>
      <c r="H8" s="15">
        <v>529.41176470588243</v>
      </c>
      <c r="I8" s="15">
        <v>0.17647058823529413</v>
      </c>
      <c r="J8" s="15">
        <v>30</v>
      </c>
      <c r="K8" s="15">
        <v>5.2941176470588243</v>
      </c>
    </row>
    <row r="9" spans="2:12" ht="13.9" x14ac:dyDescent="0.25">
      <c r="B9" s="41"/>
      <c r="C9" s="39">
        <v>100</v>
      </c>
      <c r="D9" s="41"/>
      <c r="E9" s="41"/>
      <c r="F9" s="33"/>
      <c r="G9" s="41"/>
      <c r="H9" s="41"/>
      <c r="I9" s="41"/>
      <c r="J9" s="41"/>
      <c r="K9" s="41"/>
      <c r="L9" s="41"/>
    </row>
    <row r="12" spans="2:12" s="19" customFormat="1" x14ac:dyDescent="0.25">
      <c r="B12" s="38" t="s">
        <v>208</v>
      </c>
      <c r="C12" s="38" t="s">
        <v>209</v>
      </c>
      <c r="D12" s="38" t="s">
        <v>210</v>
      </c>
      <c r="E12" s="38" t="s">
        <v>211</v>
      </c>
      <c r="F12" s="38" t="s">
        <v>196</v>
      </c>
      <c r="G12" s="38" t="s">
        <v>197</v>
      </c>
      <c r="H12" s="38" t="s">
        <v>212</v>
      </c>
      <c r="I12" s="38" t="s">
        <v>213</v>
      </c>
    </row>
    <row r="13" spans="2:12" ht="13.9" x14ac:dyDescent="0.25">
      <c r="B13" s="19">
        <v>1</v>
      </c>
      <c r="C13" s="13" t="s">
        <v>202</v>
      </c>
      <c r="D13" s="13" t="s">
        <v>214</v>
      </c>
      <c r="E13" s="13" t="s">
        <v>215</v>
      </c>
      <c r="F13" s="19">
        <v>36</v>
      </c>
      <c r="G13" s="15">
        <v>105.88235294117646</v>
      </c>
      <c r="H13" s="13" t="s">
        <v>216</v>
      </c>
      <c r="I13" s="19" t="s">
        <v>217</v>
      </c>
    </row>
    <row r="14" spans="2:12" ht="13.9" x14ac:dyDescent="0.25">
      <c r="B14" s="19">
        <v>2</v>
      </c>
      <c r="C14" s="13" t="s">
        <v>203</v>
      </c>
      <c r="D14" s="13" t="s">
        <v>218</v>
      </c>
      <c r="E14" s="13" t="s">
        <v>215</v>
      </c>
      <c r="F14" s="19">
        <v>28</v>
      </c>
      <c r="G14" s="15">
        <v>82.35294117647058</v>
      </c>
      <c r="H14" s="13" t="s">
        <v>219</v>
      </c>
      <c r="I14" s="19" t="s">
        <v>220</v>
      </c>
    </row>
    <row r="15" spans="2:12" ht="13.9" x14ac:dyDescent="0.25">
      <c r="B15" s="19">
        <v>3</v>
      </c>
      <c r="C15" s="13" t="s">
        <v>204</v>
      </c>
      <c r="D15" s="13" t="s">
        <v>214</v>
      </c>
      <c r="E15" s="13" t="s">
        <v>215</v>
      </c>
      <c r="F15" s="19">
        <v>11</v>
      </c>
      <c r="G15" s="15">
        <v>582.35294117647061</v>
      </c>
      <c r="H15" s="13" t="s">
        <v>216</v>
      </c>
      <c r="I15" s="19" t="s">
        <v>217</v>
      </c>
    </row>
    <row r="16" spans="2:12" ht="13.9" x14ac:dyDescent="0.25">
      <c r="B16" s="19">
        <v>4</v>
      </c>
      <c r="C16" s="13" t="s">
        <v>205</v>
      </c>
      <c r="D16" s="13" t="s">
        <v>221</v>
      </c>
      <c r="E16" s="13" t="s">
        <v>222</v>
      </c>
      <c r="F16" s="19">
        <v>4</v>
      </c>
      <c r="G16" s="15">
        <v>82.35294117647058</v>
      </c>
      <c r="H16" s="13" t="s">
        <v>219</v>
      </c>
      <c r="I16" s="19" t="s">
        <v>220</v>
      </c>
    </row>
    <row r="17" spans="2:9" ht="13.9" x14ac:dyDescent="0.25">
      <c r="B17" s="19">
        <v>5</v>
      </c>
      <c r="C17" s="13" t="s">
        <v>206</v>
      </c>
      <c r="D17" s="13" t="s">
        <v>223</v>
      </c>
      <c r="E17" s="13" t="s">
        <v>224</v>
      </c>
      <c r="F17" s="19">
        <v>1</v>
      </c>
      <c r="G17" s="15">
        <v>2.9411764705882351</v>
      </c>
      <c r="H17" s="13" t="s">
        <v>225</v>
      </c>
      <c r="I17" s="19" t="s">
        <v>226</v>
      </c>
    </row>
    <row r="18" spans="2:9" ht="13.9" x14ac:dyDescent="0.25">
      <c r="B18" s="39">
        <v>6</v>
      </c>
      <c r="C18" s="41" t="s">
        <v>207</v>
      </c>
      <c r="D18" s="41" t="s">
        <v>227</v>
      </c>
      <c r="E18" s="41" t="s">
        <v>228</v>
      </c>
      <c r="F18" s="39">
        <v>30</v>
      </c>
      <c r="G18" s="33">
        <v>529.41176470588243</v>
      </c>
      <c r="H18" s="41" t="s">
        <v>216</v>
      </c>
      <c r="I18" s="39" t="s">
        <v>217</v>
      </c>
    </row>
    <row r="21" spans="2:9" ht="13.9" x14ac:dyDescent="0.25">
      <c r="B21" s="42" t="s">
        <v>229</v>
      </c>
      <c r="C21" s="42" t="s">
        <v>230</v>
      </c>
      <c r="D21" s="42" t="s">
        <v>231</v>
      </c>
      <c r="E21" s="42" t="s">
        <v>232</v>
      </c>
    </row>
    <row r="22" spans="2:9" x14ac:dyDescent="0.25">
      <c r="B22" s="19" t="s">
        <v>233</v>
      </c>
      <c r="C22" s="13" t="s">
        <v>234</v>
      </c>
      <c r="D22" s="19" t="s">
        <v>235</v>
      </c>
      <c r="E22" s="19" t="s">
        <v>236</v>
      </c>
    </row>
    <row r="23" spans="2:9" x14ac:dyDescent="0.25">
      <c r="B23" s="19" t="s">
        <v>237</v>
      </c>
      <c r="C23" s="13" t="s">
        <v>225</v>
      </c>
      <c r="D23" s="19" t="s">
        <v>238</v>
      </c>
      <c r="E23" s="19" t="s">
        <v>239</v>
      </c>
    </row>
    <row r="24" spans="2:9" x14ac:dyDescent="0.25">
      <c r="B24" s="19" t="s">
        <v>240</v>
      </c>
      <c r="C24" s="13" t="s">
        <v>219</v>
      </c>
      <c r="D24" s="19" t="s">
        <v>241</v>
      </c>
      <c r="E24" s="19" t="s">
        <v>242</v>
      </c>
    </row>
    <row r="25" spans="2:9" x14ac:dyDescent="0.25">
      <c r="B25" s="19" t="s">
        <v>243</v>
      </c>
      <c r="C25" s="13" t="s">
        <v>216</v>
      </c>
      <c r="D25" s="19" t="s">
        <v>244</v>
      </c>
      <c r="E25" s="19" t="s">
        <v>245</v>
      </c>
    </row>
    <row r="26" spans="2:9" x14ac:dyDescent="0.25">
      <c r="B26" s="39" t="s">
        <v>246</v>
      </c>
      <c r="C26" s="41" t="s">
        <v>247</v>
      </c>
      <c r="D26" s="39" t="s">
        <v>248</v>
      </c>
      <c r="E26" s="39" t="s">
        <v>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FC8B-70AF-4513-BCF6-5CD4A4088EE2}">
  <dimension ref="B2:R9"/>
  <sheetViews>
    <sheetView workbookViewId="0">
      <selection activeCell="N25" sqref="N25"/>
    </sheetView>
  </sheetViews>
  <sheetFormatPr defaultColWidth="8.85546875" defaultRowHeight="15" x14ac:dyDescent="0.25"/>
  <cols>
    <col min="1" max="1" width="8.85546875" style="19"/>
    <col min="2" max="2" width="9" style="19" bestFit="1" customWidth="1"/>
    <col min="3" max="3" width="10.85546875" style="19" customWidth="1"/>
    <col min="4" max="4" width="9.7109375" style="19" bestFit="1" customWidth="1"/>
    <col min="5" max="7" width="8.85546875" style="19"/>
    <col min="8" max="8" width="9.42578125" style="19" bestFit="1" customWidth="1"/>
    <col min="9" max="9" width="9.7109375" style="19" bestFit="1" customWidth="1"/>
    <col min="10" max="11" width="8.85546875" style="19"/>
    <col min="12" max="12" width="9" style="19" bestFit="1" customWidth="1"/>
    <col min="13" max="13" width="9.42578125" style="19" bestFit="1" customWidth="1"/>
    <col min="14" max="14" width="9.7109375" style="19" bestFit="1" customWidth="1"/>
    <col min="15" max="16" width="8.85546875" style="19"/>
    <col min="17" max="17" width="9.5703125" style="19" bestFit="1" customWidth="1"/>
    <col min="18" max="16384" width="8.85546875" style="19"/>
  </cols>
  <sheetData>
    <row r="2" spans="2:18" x14ac:dyDescent="0.25">
      <c r="B2" s="64" t="s">
        <v>149</v>
      </c>
      <c r="C2" s="64"/>
      <c r="D2" s="64"/>
      <c r="E2" s="64"/>
      <c r="G2" s="64" t="s">
        <v>150</v>
      </c>
      <c r="H2" s="64"/>
      <c r="I2" s="64"/>
      <c r="J2" s="64"/>
      <c r="L2" s="64" t="s">
        <v>151</v>
      </c>
      <c r="M2" s="64"/>
      <c r="N2" s="64"/>
      <c r="O2" s="64"/>
      <c r="Q2" s="38" t="s">
        <v>185</v>
      </c>
      <c r="R2" s="38" t="s">
        <v>197</v>
      </c>
    </row>
    <row r="3" spans="2:18" ht="13.9" x14ac:dyDescent="0.25">
      <c r="B3" s="23" t="s">
        <v>195</v>
      </c>
      <c r="C3" s="23" t="s">
        <v>250</v>
      </c>
      <c r="D3" s="23" t="s">
        <v>251</v>
      </c>
      <c r="E3" s="23" t="s">
        <v>252</v>
      </c>
      <c r="G3" s="40" t="s">
        <v>195</v>
      </c>
      <c r="H3" s="40" t="s">
        <v>250</v>
      </c>
      <c r="I3" s="40" t="s">
        <v>251</v>
      </c>
      <c r="J3" s="40" t="s">
        <v>252</v>
      </c>
      <c r="L3" s="40" t="s">
        <v>195</v>
      </c>
      <c r="M3" s="40" t="s">
        <v>250</v>
      </c>
      <c r="N3" s="40" t="s">
        <v>251</v>
      </c>
      <c r="O3" s="40" t="s">
        <v>252</v>
      </c>
      <c r="Q3" s="19" t="s">
        <v>149</v>
      </c>
      <c r="R3" s="43">
        <v>14.17</v>
      </c>
    </row>
    <row r="4" spans="2:18" ht="13.9" x14ac:dyDescent="0.25">
      <c r="B4" s="19" t="s">
        <v>253</v>
      </c>
      <c r="C4" s="19">
        <v>5</v>
      </c>
      <c r="D4" s="19">
        <v>11</v>
      </c>
      <c r="E4" s="19">
        <v>55</v>
      </c>
      <c r="G4" s="19" t="s">
        <v>253</v>
      </c>
      <c r="H4" s="19">
        <v>11</v>
      </c>
      <c r="I4" s="19">
        <v>11</v>
      </c>
      <c r="J4" s="19">
        <v>121</v>
      </c>
      <c r="L4" s="19" t="s">
        <v>254</v>
      </c>
      <c r="M4" s="19">
        <v>1</v>
      </c>
      <c r="N4" s="19">
        <v>11</v>
      </c>
      <c r="O4" s="19">
        <v>11</v>
      </c>
      <c r="Q4" s="19" t="s">
        <v>150</v>
      </c>
      <c r="R4" s="43">
        <v>13.46</v>
      </c>
    </row>
    <row r="5" spans="2:18" ht="13.9" x14ac:dyDescent="0.25">
      <c r="B5" s="19" t="s">
        <v>255</v>
      </c>
      <c r="C5" s="19">
        <v>1</v>
      </c>
      <c r="D5" s="19">
        <v>30</v>
      </c>
      <c r="E5" s="19">
        <v>30</v>
      </c>
      <c r="G5" s="19" t="s">
        <v>256</v>
      </c>
      <c r="H5" s="19">
        <v>1</v>
      </c>
      <c r="I5" s="19">
        <v>50</v>
      </c>
      <c r="J5" s="19">
        <v>50</v>
      </c>
      <c r="L5" s="19" t="s">
        <v>253</v>
      </c>
      <c r="M5" s="19">
        <v>3</v>
      </c>
      <c r="N5" s="19">
        <v>11</v>
      </c>
      <c r="O5" s="19">
        <v>33</v>
      </c>
      <c r="Q5" s="19" t="s">
        <v>151</v>
      </c>
      <c r="R5" s="43">
        <v>9</v>
      </c>
    </row>
    <row r="6" spans="2:18" x14ac:dyDescent="0.25">
      <c r="C6" s="19">
        <v>6</v>
      </c>
      <c r="E6" s="19">
        <v>85</v>
      </c>
      <c r="G6" s="19" t="s">
        <v>257</v>
      </c>
      <c r="H6" s="19">
        <v>8</v>
      </c>
      <c r="I6" s="19">
        <v>4</v>
      </c>
      <c r="J6" s="19">
        <v>32</v>
      </c>
      <c r="L6" s="19" t="s">
        <v>258</v>
      </c>
      <c r="M6" s="19">
        <v>1</v>
      </c>
      <c r="N6" s="19">
        <v>1</v>
      </c>
      <c r="O6" s="19">
        <v>1</v>
      </c>
    </row>
    <row r="7" spans="2:18" x14ac:dyDescent="0.25">
      <c r="B7" s="23" t="s">
        <v>197</v>
      </c>
      <c r="C7" s="23"/>
      <c r="D7" s="23"/>
      <c r="E7" s="18">
        <v>14.166666666666666</v>
      </c>
      <c r="G7" s="19" t="s">
        <v>255</v>
      </c>
      <c r="H7" s="19">
        <v>4</v>
      </c>
      <c r="I7" s="19">
        <v>30</v>
      </c>
      <c r="J7" s="19">
        <v>120</v>
      </c>
      <c r="M7" s="19">
        <v>5</v>
      </c>
      <c r="O7" s="19">
        <v>45</v>
      </c>
    </row>
    <row r="8" spans="2:18" x14ac:dyDescent="0.25">
      <c r="H8" s="19">
        <v>24</v>
      </c>
      <c r="J8" s="19">
        <v>323</v>
      </c>
      <c r="L8" s="23" t="s">
        <v>197</v>
      </c>
      <c r="M8" s="23"/>
      <c r="N8" s="23"/>
      <c r="O8" s="21">
        <v>9</v>
      </c>
    </row>
    <row r="9" spans="2:18" x14ac:dyDescent="0.25">
      <c r="G9" s="23" t="s">
        <v>197</v>
      </c>
      <c r="H9" s="23"/>
      <c r="I9" s="23"/>
      <c r="J9" s="18">
        <v>13.458333333333334</v>
      </c>
    </row>
  </sheetData>
  <mergeCells count="3">
    <mergeCell ref="B2:E2"/>
    <mergeCell ref="G2:J2"/>
    <mergeCell ref="L2:O2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ABAB-0FB8-45AE-9646-F9C8792FC814}">
  <dimension ref="B2:V38"/>
  <sheetViews>
    <sheetView workbookViewId="0">
      <selection activeCell="G3" sqref="G3:G37"/>
    </sheetView>
  </sheetViews>
  <sheetFormatPr defaultRowHeight="15" x14ac:dyDescent="0.25"/>
  <cols>
    <col min="2" max="2" width="13.42578125" customWidth="1"/>
    <col min="3" max="3" width="19.28515625" customWidth="1"/>
    <col min="4" max="4" width="33" customWidth="1"/>
    <col min="5" max="5" width="12.140625" customWidth="1"/>
    <col min="7" max="7" width="11.7109375" bestFit="1" customWidth="1"/>
    <col min="9" max="9" width="24.28515625" bestFit="1" customWidth="1"/>
    <col min="12" max="12" width="12.28515625" customWidth="1"/>
    <col min="19" max="19" width="23.5703125" bestFit="1" customWidth="1"/>
  </cols>
  <sheetData>
    <row r="2" spans="2:22" ht="15.75" x14ac:dyDescent="0.25">
      <c r="B2" s="17" t="s">
        <v>259</v>
      </c>
      <c r="C2" s="17" t="s">
        <v>260</v>
      </c>
      <c r="D2" s="17" t="s">
        <v>261</v>
      </c>
      <c r="E2" s="17" t="s">
        <v>185</v>
      </c>
      <c r="F2" s="17" t="s">
        <v>30</v>
      </c>
      <c r="G2" s="17" t="s">
        <v>262</v>
      </c>
      <c r="H2" s="13"/>
      <c r="I2" s="44" t="s">
        <v>263</v>
      </c>
      <c r="J2" s="45" t="s">
        <v>254</v>
      </c>
      <c r="K2" s="13"/>
      <c r="L2" s="17" t="s">
        <v>185</v>
      </c>
      <c r="M2" s="17" t="s">
        <v>195</v>
      </c>
      <c r="N2" s="13"/>
      <c r="O2" s="13"/>
      <c r="P2" s="13"/>
      <c r="Q2" s="13"/>
      <c r="R2" s="13"/>
      <c r="S2" s="13"/>
      <c r="T2" s="13"/>
      <c r="U2" s="13"/>
      <c r="V2" s="13"/>
    </row>
    <row r="3" spans="2:22" ht="15.75" x14ac:dyDescent="0.25">
      <c r="B3" s="13" t="s">
        <v>264</v>
      </c>
      <c r="C3" s="13" t="s">
        <v>64</v>
      </c>
      <c r="D3" s="13" t="s">
        <v>263</v>
      </c>
      <c r="E3" s="13" t="s">
        <v>151</v>
      </c>
      <c r="F3" s="13" t="s">
        <v>44</v>
      </c>
      <c r="G3" s="13" t="s">
        <v>39</v>
      </c>
      <c r="H3" s="13"/>
      <c r="I3" s="44" t="s">
        <v>265</v>
      </c>
      <c r="J3" s="45" t="s">
        <v>256</v>
      </c>
      <c r="K3" s="13"/>
      <c r="L3" s="13" t="s">
        <v>151</v>
      </c>
      <c r="M3" s="13" t="s">
        <v>254</v>
      </c>
      <c r="N3" s="13"/>
      <c r="O3" s="13"/>
      <c r="P3" s="13"/>
      <c r="Q3" s="13"/>
      <c r="R3" s="23"/>
      <c r="S3" s="23"/>
      <c r="T3" s="13"/>
      <c r="U3" s="13"/>
      <c r="V3" s="13"/>
    </row>
    <row r="4" spans="2:22" ht="15.75" x14ac:dyDescent="0.25">
      <c r="B4" s="13" t="s">
        <v>266</v>
      </c>
      <c r="C4" s="13" t="s">
        <v>64</v>
      </c>
      <c r="D4" s="13" t="s">
        <v>267</v>
      </c>
      <c r="E4" s="13" t="s">
        <v>151</v>
      </c>
      <c r="F4" s="13" t="s">
        <v>44</v>
      </c>
      <c r="G4" s="13" t="s">
        <v>38</v>
      </c>
      <c r="H4" s="13"/>
      <c r="I4" s="44" t="s">
        <v>268</v>
      </c>
      <c r="J4" s="45" t="s">
        <v>253</v>
      </c>
      <c r="K4" s="13"/>
      <c r="L4" s="13" t="s">
        <v>151</v>
      </c>
      <c r="M4" s="13" t="s">
        <v>258</v>
      </c>
      <c r="N4" s="13"/>
      <c r="O4" s="13"/>
      <c r="P4" s="13"/>
      <c r="Q4" s="13"/>
      <c r="R4" s="13"/>
      <c r="S4" s="13"/>
      <c r="T4" s="13"/>
      <c r="U4" s="13"/>
      <c r="V4" s="13"/>
    </row>
    <row r="5" spans="2:22" ht="15.75" x14ac:dyDescent="0.25">
      <c r="B5" s="13" t="s">
        <v>269</v>
      </c>
      <c r="C5" s="13" t="s">
        <v>64</v>
      </c>
      <c r="D5" s="13" t="s">
        <v>268</v>
      </c>
      <c r="E5" s="13" t="s">
        <v>151</v>
      </c>
      <c r="F5" s="13" t="s">
        <v>44</v>
      </c>
      <c r="G5" s="13" t="s">
        <v>39</v>
      </c>
      <c r="H5" s="13"/>
      <c r="I5" s="44" t="s">
        <v>270</v>
      </c>
      <c r="J5" s="45" t="s">
        <v>257</v>
      </c>
      <c r="K5" s="13"/>
      <c r="L5" s="13" t="s">
        <v>151</v>
      </c>
      <c r="M5" s="13" t="s">
        <v>253</v>
      </c>
      <c r="N5" s="13"/>
      <c r="O5" s="13"/>
      <c r="P5" s="13"/>
      <c r="Q5" s="13"/>
      <c r="R5" s="13"/>
      <c r="S5" s="13"/>
      <c r="T5" s="13"/>
      <c r="U5" s="13"/>
      <c r="V5" s="13"/>
    </row>
    <row r="6" spans="2:22" ht="15.75" x14ac:dyDescent="0.25">
      <c r="B6" s="13" t="s">
        <v>271</v>
      </c>
      <c r="C6" s="13" t="s">
        <v>157</v>
      </c>
      <c r="D6" s="13" t="s">
        <v>268</v>
      </c>
      <c r="E6" s="13" t="s">
        <v>151</v>
      </c>
      <c r="F6" s="13" t="s">
        <v>44</v>
      </c>
      <c r="G6" s="13" t="s">
        <v>39</v>
      </c>
      <c r="H6" s="13"/>
      <c r="I6" s="44" t="s">
        <v>267</v>
      </c>
      <c r="J6" s="45" t="s">
        <v>258</v>
      </c>
      <c r="K6" s="13"/>
      <c r="L6" s="13" t="s">
        <v>151</v>
      </c>
      <c r="M6" s="13" t="s">
        <v>253</v>
      </c>
      <c r="N6" s="13"/>
      <c r="O6" s="13"/>
      <c r="P6" s="13"/>
      <c r="Q6" s="13"/>
      <c r="R6" s="13"/>
      <c r="S6" s="13"/>
      <c r="T6" s="13"/>
      <c r="U6" s="13"/>
      <c r="V6" s="13"/>
    </row>
    <row r="7" spans="2:22" ht="15.75" x14ac:dyDescent="0.25">
      <c r="B7" s="13" t="s">
        <v>272</v>
      </c>
      <c r="C7" s="13" t="s">
        <v>157</v>
      </c>
      <c r="D7" s="13" t="s">
        <v>268</v>
      </c>
      <c r="E7" s="13" t="s">
        <v>151</v>
      </c>
      <c r="F7" s="13" t="s">
        <v>44</v>
      </c>
      <c r="G7" s="13" t="s">
        <v>39</v>
      </c>
      <c r="H7" s="13"/>
      <c r="I7" s="44" t="s">
        <v>273</v>
      </c>
      <c r="J7" s="45" t="s">
        <v>255</v>
      </c>
      <c r="K7" s="13"/>
      <c r="L7" s="13" t="s">
        <v>151</v>
      </c>
      <c r="M7" s="13" t="s">
        <v>253</v>
      </c>
      <c r="N7" s="13"/>
      <c r="O7" s="13"/>
      <c r="P7" s="13"/>
      <c r="Q7" s="13"/>
      <c r="R7" s="13"/>
      <c r="S7" s="13"/>
      <c r="T7" s="13"/>
      <c r="U7" s="13"/>
      <c r="V7" s="13"/>
    </row>
    <row r="8" spans="2:22" x14ac:dyDescent="0.25">
      <c r="B8" s="13" t="s">
        <v>274</v>
      </c>
      <c r="C8" s="13" t="s">
        <v>64</v>
      </c>
      <c r="D8" s="13" t="s">
        <v>265</v>
      </c>
      <c r="E8" s="13" t="s">
        <v>150</v>
      </c>
      <c r="F8" s="13" t="s">
        <v>44</v>
      </c>
      <c r="G8" s="13" t="s">
        <v>38</v>
      </c>
      <c r="H8" s="13"/>
      <c r="I8" s="13"/>
      <c r="J8" s="13"/>
      <c r="K8" s="13"/>
      <c r="L8" s="13" t="s">
        <v>150</v>
      </c>
      <c r="M8" s="13" t="s">
        <v>256</v>
      </c>
      <c r="N8" s="13"/>
      <c r="O8" s="13"/>
      <c r="P8" s="13"/>
      <c r="Q8" s="13"/>
      <c r="R8" s="13"/>
      <c r="S8" s="13"/>
      <c r="T8" s="13"/>
      <c r="U8" s="13"/>
      <c r="V8" s="13"/>
    </row>
    <row r="9" spans="2:22" x14ac:dyDescent="0.25">
      <c r="B9" s="13" t="s">
        <v>275</v>
      </c>
      <c r="C9" s="13" t="s">
        <v>64</v>
      </c>
      <c r="D9" s="13" t="s">
        <v>273</v>
      </c>
      <c r="E9" s="13" t="s">
        <v>150</v>
      </c>
      <c r="F9" s="13" t="s">
        <v>46</v>
      </c>
      <c r="G9" s="13" t="s">
        <v>37</v>
      </c>
      <c r="H9" s="13"/>
      <c r="I9" s="13"/>
      <c r="J9" s="13"/>
      <c r="K9" s="13"/>
      <c r="L9" s="13" t="s">
        <v>150</v>
      </c>
      <c r="M9" s="13" t="s">
        <v>255</v>
      </c>
      <c r="N9" s="13"/>
      <c r="O9" s="13"/>
      <c r="P9" s="13"/>
      <c r="Q9" s="13"/>
      <c r="R9" s="13"/>
      <c r="S9" s="13"/>
      <c r="T9" s="13"/>
      <c r="U9" s="13"/>
      <c r="V9" s="13"/>
    </row>
    <row r="10" spans="2:22" x14ac:dyDescent="0.25">
      <c r="B10" s="13" t="s">
        <v>276</v>
      </c>
      <c r="C10" s="13" t="s">
        <v>64</v>
      </c>
      <c r="D10" s="13" t="s">
        <v>268</v>
      </c>
      <c r="E10" s="13" t="s">
        <v>150</v>
      </c>
      <c r="F10" s="13" t="s">
        <v>277</v>
      </c>
      <c r="G10" s="13" t="s">
        <v>39</v>
      </c>
      <c r="H10" s="13"/>
      <c r="I10" s="13"/>
      <c r="J10" s="13"/>
      <c r="K10" s="13"/>
      <c r="L10" s="13" t="s">
        <v>150</v>
      </c>
      <c r="M10" s="13" t="s">
        <v>253</v>
      </c>
      <c r="N10" s="13"/>
      <c r="O10" s="13"/>
      <c r="P10" s="13"/>
      <c r="Q10" s="13"/>
      <c r="R10" s="13"/>
      <c r="S10" s="13"/>
      <c r="T10" s="13"/>
      <c r="U10" s="13"/>
      <c r="V10" s="13"/>
    </row>
    <row r="11" spans="2:22" x14ac:dyDescent="0.25">
      <c r="B11" s="13" t="s">
        <v>278</v>
      </c>
      <c r="C11" s="13" t="s">
        <v>64</v>
      </c>
      <c r="D11" s="13" t="s">
        <v>270</v>
      </c>
      <c r="E11" s="13" t="s">
        <v>150</v>
      </c>
      <c r="F11" s="13" t="s">
        <v>279</v>
      </c>
      <c r="G11" s="13" t="s">
        <v>37</v>
      </c>
      <c r="H11" s="13"/>
      <c r="I11" s="13"/>
      <c r="J11" s="13"/>
      <c r="K11" s="13"/>
      <c r="L11" s="13" t="s">
        <v>150</v>
      </c>
      <c r="M11" s="13" t="s">
        <v>257</v>
      </c>
      <c r="N11" s="13"/>
      <c r="O11" s="13"/>
      <c r="P11" s="13"/>
      <c r="Q11" s="13"/>
      <c r="R11" s="13"/>
      <c r="S11" s="13"/>
      <c r="T11" s="13"/>
      <c r="U11" s="13"/>
      <c r="V11" s="13"/>
    </row>
    <row r="12" spans="2:22" x14ac:dyDescent="0.25">
      <c r="B12" s="13" t="s">
        <v>280</v>
      </c>
      <c r="C12" s="13" t="s">
        <v>64</v>
      </c>
      <c r="D12" s="13" t="s">
        <v>270</v>
      </c>
      <c r="E12" s="13" t="s">
        <v>150</v>
      </c>
      <c r="F12" s="13" t="s">
        <v>279</v>
      </c>
      <c r="G12" s="13" t="s">
        <v>37</v>
      </c>
      <c r="H12" s="13"/>
      <c r="I12" s="13"/>
      <c r="J12" s="13"/>
      <c r="K12" s="13"/>
      <c r="L12" s="13" t="s">
        <v>150</v>
      </c>
      <c r="M12" s="13" t="s">
        <v>257</v>
      </c>
      <c r="N12" s="13"/>
      <c r="O12" s="13"/>
      <c r="P12" s="13"/>
      <c r="Q12" s="13"/>
      <c r="R12" s="13"/>
      <c r="S12" s="13"/>
      <c r="T12" s="13"/>
      <c r="U12" s="13"/>
      <c r="V12" s="13"/>
    </row>
    <row r="13" spans="2:22" x14ac:dyDescent="0.25">
      <c r="B13" s="13" t="s">
        <v>281</v>
      </c>
      <c r="C13" s="13" t="s">
        <v>64</v>
      </c>
      <c r="D13" s="13" t="s">
        <v>270</v>
      </c>
      <c r="E13" s="13" t="s">
        <v>150</v>
      </c>
      <c r="F13" s="13" t="s">
        <v>279</v>
      </c>
      <c r="G13" s="13" t="s">
        <v>37</v>
      </c>
      <c r="H13" s="13"/>
      <c r="I13" s="13"/>
      <c r="J13" s="13"/>
      <c r="K13" s="13"/>
      <c r="L13" s="13" t="s">
        <v>150</v>
      </c>
      <c r="M13" s="13" t="s">
        <v>257</v>
      </c>
      <c r="N13" s="13"/>
      <c r="O13" s="13"/>
      <c r="P13" s="13"/>
      <c r="Q13" s="13"/>
      <c r="R13" s="13"/>
      <c r="S13" s="13"/>
      <c r="T13" s="13"/>
      <c r="U13" s="13"/>
      <c r="V13" s="13"/>
    </row>
    <row r="14" spans="2:22" x14ac:dyDescent="0.25">
      <c r="B14" s="13" t="s">
        <v>282</v>
      </c>
      <c r="C14" s="13" t="s">
        <v>64</v>
      </c>
      <c r="D14" s="13" t="s">
        <v>270</v>
      </c>
      <c r="E14" s="13" t="s">
        <v>150</v>
      </c>
      <c r="F14" s="13" t="s">
        <v>279</v>
      </c>
      <c r="G14" s="13" t="s">
        <v>37</v>
      </c>
      <c r="H14" s="13"/>
      <c r="I14" s="13"/>
      <c r="J14" s="13"/>
      <c r="K14" s="13"/>
      <c r="L14" s="13" t="s">
        <v>150</v>
      </c>
      <c r="M14" s="13" t="s">
        <v>257</v>
      </c>
      <c r="N14" s="13"/>
      <c r="O14" s="13"/>
      <c r="P14" s="13"/>
      <c r="Q14" s="13"/>
      <c r="R14" s="13"/>
      <c r="S14" s="13"/>
      <c r="T14" s="13"/>
      <c r="U14" s="13"/>
      <c r="V14" s="13"/>
    </row>
    <row r="15" spans="2:22" x14ac:dyDescent="0.25">
      <c r="B15" s="13" t="s">
        <v>283</v>
      </c>
      <c r="C15" s="13" t="s">
        <v>64</v>
      </c>
      <c r="D15" s="13" t="s">
        <v>268</v>
      </c>
      <c r="E15" s="13" t="s">
        <v>150</v>
      </c>
      <c r="F15" s="13" t="s">
        <v>279</v>
      </c>
      <c r="G15" s="13" t="s">
        <v>37</v>
      </c>
      <c r="H15" s="13"/>
      <c r="I15" s="13"/>
      <c r="J15" s="13"/>
      <c r="K15" s="13"/>
      <c r="L15" s="13" t="s">
        <v>150</v>
      </c>
      <c r="M15" s="13" t="s">
        <v>253</v>
      </c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13" t="s">
        <v>284</v>
      </c>
      <c r="C16" s="13" t="s">
        <v>64</v>
      </c>
      <c r="D16" s="13" t="s">
        <v>270</v>
      </c>
      <c r="E16" s="13" t="s">
        <v>150</v>
      </c>
      <c r="F16" s="13" t="s">
        <v>279</v>
      </c>
      <c r="G16" s="13" t="s">
        <v>37</v>
      </c>
      <c r="H16" s="13"/>
      <c r="I16" s="13"/>
      <c r="J16" s="13"/>
      <c r="K16" s="13"/>
      <c r="L16" s="13" t="s">
        <v>150</v>
      </c>
      <c r="M16" s="13" t="s">
        <v>257</v>
      </c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13" t="s">
        <v>285</v>
      </c>
      <c r="C17" s="13" t="s">
        <v>64</v>
      </c>
      <c r="D17" s="13" t="s">
        <v>268</v>
      </c>
      <c r="E17" s="13" t="s">
        <v>150</v>
      </c>
      <c r="F17" s="13" t="s">
        <v>47</v>
      </c>
      <c r="G17" s="13" t="s">
        <v>37</v>
      </c>
      <c r="H17" s="13"/>
      <c r="I17" s="13"/>
      <c r="J17" s="13"/>
      <c r="K17" s="13"/>
      <c r="L17" s="13" t="s">
        <v>150</v>
      </c>
      <c r="M17" s="13" t="s">
        <v>253</v>
      </c>
      <c r="N17" s="13"/>
      <c r="O17" s="13"/>
      <c r="P17" s="13"/>
      <c r="Q17" s="13"/>
      <c r="R17" s="13"/>
      <c r="S17" s="13"/>
      <c r="T17" s="13"/>
      <c r="U17" s="13"/>
      <c r="V17" s="13"/>
    </row>
    <row r="18" spans="2:22" x14ac:dyDescent="0.25">
      <c r="B18" s="13" t="s">
        <v>286</v>
      </c>
      <c r="C18" s="13" t="s">
        <v>64</v>
      </c>
      <c r="D18" s="13" t="s">
        <v>270</v>
      </c>
      <c r="E18" s="13" t="s">
        <v>150</v>
      </c>
      <c r="F18" s="13" t="s">
        <v>47</v>
      </c>
      <c r="G18" s="13" t="s">
        <v>39</v>
      </c>
      <c r="H18" s="13"/>
      <c r="I18" s="13"/>
      <c r="J18" s="13"/>
      <c r="K18" s="13"/>
      <c r="L18" s="13" t="s">
        <v>150</v>
      </c>
      <c r="M18" s="13" t="s">
        <v>257</v>
      </c>
      <c r="N18" s="13"/>
      <c r="O18" s="13"/>
      <c r="P18" s="13"/>
      <c r="Q18" s="13"/>
      <c r="R18" s="13"/>
      <c r="S18" s="13"/>
      <c r="T18" s="13"/>
      <c r="U18" s="13"/>
      <c r="V18" s="13"/>
    </row>
    <row r="19" spans="2:22" x14ac:dyDescent="0.25">
      <c r="B19" s="13" t="s">
        <v>287</v>
      </c>
      <c r="C19" s="13" t="s">
        <v>64</v>
      </c>
      <c r="D19" s="13" t="s">
        <v>270</v>
      </c>
      <c r="E19" s="13" t="s">
        <v>150</v>
      </c>
      <c r="F19" s="13" t="s">
        <v>46</v>
      </c>
      <c r="G19" s="13" t="s">
        <v>37</v>
      </c>
      <c r="H19" s="13"/>
      <c r="I19" s="13"/>
      <c r="J19" s="13"/>
      <c r="K19" s="13"/>
      <c r="L19" s="13" t="s">
        <v>150</v>
      </c>
      <c r="M19" s="13" t="s">
        <v>257</v>
      </c>
      <c r="N19" s="13"/>
      <c r="O19" s="13"/>
      <c r="P19" s="13"/>
      <c r="Q19" s="13"/>
      <c r="R19" s="13"/>
      <c r="S19" s="13"/>
      <c r="T19" s="13"/>
      <c r="U19" s="13"/>
      <c r="V19" s="13"/>
    </row>
    <row r="20" spans="2:22" x14ac:dyDescent="0.25">
      <c r="B20" s="13" t="s">
        <v>288</v>
      </c>
      <c r="C20" s="13" t="s">
        <v>64</v>
      </c>
      <c r="D20" s="13" t="s">
        <v>268</v>
      </c>
      <c r="E20" s="13" t="s">
        <v>150</v>
      </c>
      <c r="F20" s="13" t="s">
        <v>47</v>
      </c>
      <c r="G20" s="13" t="s">
        <v>37</v>
      </c>
      <c r="H20" s="13"/>
      <c r="I20" s="13"/>
      <c r="J20" s="13"/>
      <c r="K20" s="13"/>
      <c r="L20" s="13" t="s">
        <v>150</v>
      </c>
      <c r="M20" s="13" t="s">
        <v>253</v>
      </c>
      <c r="N20" s="13"/>
      <c r="O20" s="13"/>
      <c r="P20" s="13"/>
      <c r="Q20" s="13"/>
      <c r="R20" s="13"/>
      <c r="S20" s="13"/>
      <c r="T20" s="13"/>
      <c r="U20" s="13"/>
      <c r="V20" s="13"/>
    </row>
    <row r="21" spans="2:22" x14ac:dyDescent="0.25">
      <c r="B21" s="13" t="s">
        <v>289</v>
      </c>
      <c r="C21" s="13" t="s">
        <v>64</v>
      </c>
      <c r="D21" s="13" t="s">
        <v>268</v>
      </c>
      <c r="E21" s="13" t="s">
        <v>150</v>
      </c>
      <c r="F21" s="13" t="s">
        <v>48</v>
      </c>
      <c r="G21" s="13" t="s">
        <v>39</v>
      </c>
      <c r="H21" s="13"/>
      <c r="I21" s="13"/>
      <c r="J21" s="13"/>
      <c r="K21" s="13"/>
      <c r="L21" s="13" t="s">
        <v>150</v>
      </c>
      <c r="M21" s="13" t="s">
        <v>253</v>
      </c>
      <c r="N21" s="13"/>
      <c r="O21" s="13"/>
      <c r="P21" s="13"/>
      <c r="Q21" s="13"/>
      <c r="R21" s="13"/>
      <c r="S21" s="13"/>
      <c r="T21" s="13"/>
      <c r="U21" s="13"/>
      <c r="V21" s="13"/>
    </row>
    <row r="22" spans="2:22" x14ac:dyDescent="0.25">
      <c r="B22" s="13" t="s">
        <v>290</v>
      </c>
      <c r="C22" s="13" t="s">
        <v>64</v>
      </c>
      <c r="D22" s="13" t="s">
        <v>273</v>
      </c>
      <c r="E22" s="13" t="s">
        <v>150</v>
      </c>
      <c r="F22" s="13" t="s">
        <v>46</v>
      </c>
      <c r="G22" s="13" t="s">
        <v>37</v>
      </c>
      <c r="H22" s="13"/>
      <c r="I22" s="13"/>
      <c r="J22" s="13"/>
      <c r="K22" s="13"/>
      <c r="L22" s="13" t="s">
        <v>150</v>
      </c>
      <c r="M22" s="13" t="s">
        <v>255</v>
      </c>
      <c r="N22" s="13"/>
      <c r="O22" s="13"/>
      <c r="P22" s="13"/>
      <c r="Q22" s="13"/>
      <c r="R22" s="13"/>
      <c r="S22" s="13"/>
      <c r="T22" s="13"/>
      <c r="U22" s="13"/>
      <c r="V22" s="13"/>
    </row>
    <row r="23" spans="2:22" x14ac:dyDescent="0.25">
      <c r="B23" s="13" t="s">
        <v>291</v>
      </c>
      <c r="C23" s="13" t="s">
        <v>64</v>
      </c>
      <c r="D23" s="13" t="s">
        <v>273</v>
      </c>
      <c r="E23" s="13" t="s">
        <v>150</v>
      </c>
      <c r="F23" s="13" t="s">
        <v>46</v>
      </c>
      <c r="G23" s="13" t="s">
        <v>37</v>
      </c>
      <c r="H23" s="13"/>
      <c r="I23" s="13"/>
      <c r="J23" s="13"/>
      <c r="K23" s="13"/>
      <c r="L23" s="13" t="s">
        <v>150</v>
      </c>
      <c r="M23" s="13" t="s">
        <v>255</v>
      </c>
      <c r="N23" s="13"/>
      <c r="O23" s="13"/>
      <c r="P23" s="13"/>
      <c r="Q23" s="13"/>
      <c r="R23" s="13"/>
      <c r="S23" s="13"/>
      <c r="T23" s="13"/>
      <c r="U23" s="13"/>
      <c r="V23" s="13"/>
    </row>
    <row r="24" spans="2:22" x14ac:dyDescent="0.25">
      <c r="B24" s="13" t="s">
        <v>292</v>
      </c>
      <c r="C24" s="13" t="s">
        <v>64</v>
      </c>
      <c r="D24" s="13" t="s">
        <v>270</v>
      </c>
      <c r="E24" s="13" t="s">
        <v>150</v>
      </c>
      <c r="F24" s="13" t="s">
        <v>47</v>
      </c>
      <c r="G24" s="13" t="s">
        <v>38</v>
      </c>
      <c r="H24" s="13"/>
      <c r="I24" s="13"/>
      <c r="J24" s="13"/>
      <c r="K24" s="13"/>
      <c r="L24" s="13" t="s">
        <v>150</v>
      </c>
      <c r="M24" s="13" t="s">
        <v>257</v>
      </c>
      <c r="N24" s="13"/>
      <c r="O24" s="13"/>
      <c r="P24" s="13"/>
      <c r="Q24" s="13"/>
      <c r="R24" s="13"/>
      <c r="S24" s="13"/>
      <c r="T24" s="13"/>
      <c r="U24" s="13"/>
      <c r="V24" s="13"/>
    </row>
    <row r="25" spans="2:22" x14ac:dyDescent="0.25">
      <c r="B25" s="13" t="s">
        <v>293</v>
      </c>
      <c r="C25" s="13" t="s">
        <v>157</v>
      </c>
      <c r="D25" s="13" t="s">
        <v>268</v>
      </c>
      <c r="E25" s="13" t="s">
        <v>150</v>
      </c>
      <c r="F25" s="13" t="s">
        <v>45</v>
      </c>
      <c r="G25" s="13" t="s">
        <v>39</v>
      </c>
      <c r="H25" s="13"/>
      <c r="I25" s="13"/>
      <c r="J25" s="13"/>
      <c r="K25" s="13"/>
      <c r="L25" s="13" t="s">
        <v>150</v>
      </c>
      <c r="M25" s="13" t="s">
        <v>253</v>
      </c>
      <c r="N25" s="13"/>
      <c r="O25" s="13"/>
      <c r="P25" s="13"/>
      <c r="Q25" s="13"/>
      <c r="R25" s="13"/>
      <c r="S25" s="13"/>
      <c r="T25" s="13"/>
      <c r="U25" s="13"/>
      <c r="V25" s="13"/>
    </row>
    <row r="26" spans="2:22" x14ac:dyDescent="0.25">
      <c r="B26" s="13" t="s">
        <v>294</v>
      </c>
      <c r="C26" s="13" t="s">
        <v>157</v>
      </c>
      <c r="D26" s="13" t="s">
        <v>273</v>
      </c>
      <c r="E26" s="13" t="s">
        <v>150</v>
      </c>
      <c r="F26" s="13" t="s">
        <v>47</v>
      </c>
      <c r="G26" s="13" t="s">
        <v>39</v>
      </c>
      <c r="H26" s="13"/>
      <c r="I26" s="13"/>
      <c r="J26" s="13"/>
      <c r="K26" s="13"/>
      <c r="L26" s="13" t="s">
        <v>150</v>
      </c>
      <c r="M26" s="13" t="s">
        <v>255</v>
      </c>
      <c r="N26" s="13"/>
      <c r="O26" s="13"/>
      <c r="P26" s="13"/>
      <c r="Q26" s="13"/>
      <c r="R26" s="13"/>
      <c r="S26" s="13"/>
      <c r="T26" s="13"/>
      <c r="U26" s="13"/>
      <c r="V26" s="13"/>
    </row>
    <row r="27" spans="2:22" x14ac:dyDescent="0.25">
      <c r="B27" s="13" t="s">
        <v>295</v>
      </c>
      <c r="C27" s="13" t="s">
        <v>157</v>
      </c>
      <c r="D27" s="13" t="s">
        <v>268</v>
      </c>
      <c r="E27" s="13" t="s">
        <v>150</v>
      </c>
      <c r="F27" s="13" t="s">
        <v>48</v>
      </c>
      <c r="G27" s="13" t="s">
        <v>39</v>
      </c>
      <c r="H27" s="13"/>
      <c r="I27" s="13"/>
      <c r="J27" s="13"/>
      <c r="K27" s="13"/>
      <c r="L27" s="13" t="s">
        <v>150</v>
      </c>
      <c r="M27" s="13" t="s">
        <v>253</v>
      </c>
      <c r="N27" s="13"/>
      <c r="O27" s="13"/>
      <c r="P27" s="13"/>
      <c r="Q27" s="13"/>
      <c r="R27" s="13"/>
      <c r="S27" s="13"/>
      <c r="T27" s="13"/>
      <c r="U27" s="13"/>
      <c r="V27" s="13"/>
    </row>
    <row r="28" spans="2:22" x14ac:dyDescent="0.25">
      <c r="B28" s="13" t="s">
        <v>296</v>
      </c>
      <c r="C28" s="13" t="s">
        <v>157</v>
      </c>
      <c r="D28" s="13" t="s">
        <v>268</v>
      </c>
      <c r="E28" s="13" t="s">
        <v>150</v>
      </c>
      <c r="F28" s="13" t="s">
        <v>45</v>
      </c>
      <c r="G28" s="13" t="s">
        <v>39</v>
      </c>
      <c r="H28" s="13"/>
      <c r="I28" s="13"/>
      <c r="J28" s="13"/>
      <c r="K28" s="13"/>
      <c r="L28" s="13" t="s">
        <v>150</v>
      </c>
      <c r="M28" s="13" t="s">
        <v>253</v>
      </c>
      <c r="N28" s="13"/>
      <c r="O28" s="13"/>
      <c r="P28" s="13"/>
      <c r="Q28" s="13"/>
      <c r="R28" s="13"/>
      <c r="S28" s="13"/>
      <c r="T28" s="13"/>
      <c r="U28" s="13"/>
      <c r="V28" s="13"/>
    </row>
    <row r="29" spans="2:22" x14ac:dyDescent="0.25">
      <c r="B29" s="13" t="s">
        <v>297</v>
      </c>
      <c r="C29" s="13" t="s">
        <v>157</v>
      </c>
      <c r="D29" s="13" t="s">
        <v>268</v>
      </c>
      <c r="E29" s="13" t="s">
        <v>150</v>
      </c>
      <c r="F29" s="13" t="s">
        <v>45</v>
      </c>
      <c r="G29" s="13" t="s">
        <v>39</v>
      </c>
      <c r="H29" s="13"/>
      <c r="I29" s="13"/>
      <c r="J29" s="13"/>
      <c r="K29" s="13"/>
      <c r="L29" s="13" t="s">
        <v>150</v>
      </c>
      <c r="M29" s="13" t="s">
        <v>253</v>
      </c>
      <c r="N29" s="13"/>
      <c r="O29" s="13"/>
      <c r="P29" s="13"/>
      <c r="Q29" s="13"/>
      <c r="R29" s="13"/>
      <c r="S29" s="13"/>
      <c r="T29" s="13"/>
      <c r="U29" s="13"/>
      <c r="V29" s="13"/>
    </row>
    <row r="30" spans="2:22" x14ac:dyDescent="0.25">
      <c r="B30" s="13" t="s">
        <v>298</v>
      </c>
      <c r="C30" s="13" t="s">
        <v>157</v>
      </c>
      <c r="D30" s="13" t="s">
        <v>268</v>
      </c>
      <c r="E30" s="13" t="s">
        <v>150</v>
      </c>
      <c r="F30" s="13" t="s">
        <v>45</v>
      </c>
      <c r="G30" s="13" t="s">
        <v>39</v>
      </c>
      <c r="H30" s="13"/>
      <c r="I30" s="13"/>
      <c r="J30" s="13"/>
      <c r="K30" s="13"/>
      <c r="L30" s="13" t="s">
        <v>150</v>
      </c>
      <c r="M30" s="13" t="s">
        <v>253</v>
      </c>
      <c r="N30" s="13"/>
      <c r="O30" s="13"/>
      <c r="P30" s="13"/>
      <c r="Q30" s="13"/>
      <c r="R30" s="13"/>
      <c r="S30" s="13"/>
      <c r="T30" s="13"/>
      <c r="U30" s="13"/>
      <c r="V30" s="13"/>
    </row>
    <row r="31" spans="2:22" x14ac:dyDescent="0.25">
      <c r="B31" s="13" t="s">
        <v>299</v>
      </c>
      <c r="C31" s="13" t="s">
        <v>157</v>
      </c>
      <c r="D31" s="13" t="s">
        <v>268</v>
      </c>
      <c r="E31" s="13" t="s">
        <v>150</v>
      </c>
      <c r="F31" s="13" t="s">
        <v>45</v>
      </c>
      <c r="G31" s="13" t="s">
        <v>39</v>
      </c>
      <c r="H31" s="13"/>
      <c r="I31" s="13"/>
      <c r="J31" s="13"/>
      <c r="K31" s="13"/>
      <c r="L31" s="13" t="s">
        <v>150</v>
      </c>
      <c r="M31" s="13" t="s">
        <v>253</v>
      </c>
      <c r="N31" s="13"/>
      <c r="O31" s="13"/>
      <c r="P31" s="13"/>
      <c r="Q31" s="13"/>
      <c r="R31" s="13"/>
      <c r="S31" s="13"/>
      <c r="T31" s="13"/>
      <c r="U31" s="13"/>
      <c r="V31" s="13"/>
    </row>
    <row r="32" spans="2:22" x14ac:dyDescent="0.25">
      <c r="B32" s="13" t="s">
        <v>300</v>
      </c>
      <c r="C32" s="13" t="s">
        <v>64</v>
      </c>
      <c r="D32" s="13" t="s">
        <v>268</v>
      </c>
      <c r="E32" s="13" t="s">
        <v>149</v>
      </c>
      <c r="F32" s="13" t="s">
        <v>48</v>
      </c>
      <c r="G32" s="13" t="s">
        <v>39</v>
      </c>
      <c r="H32" s="13"/>
      <c r="I32" s="13"/>
      <c r="J32" s="13"/>
      <c r="K32" s="13"/>
      <c r="L32" s="13" t="s">
        <v>149</v>
      </c>
      <c r="M32" s="13" t="s">
        <v>253</v>
      </c>
      <c r="N32" s="13"/>
      <c r="O32" s="13"/>
      <c r="P32" s="13"/>
      <c r="Q32" s="13"/>
      <c r="R32" s="13"/>
      <c r="S32" s="13"/>
      <c r="T32" s="13"/>
      <c r="U32" s="13"/>
      <c r="V32" s="13"/>
    </row>
    <row r="33" spans="2:22" x14ac:dyDescent="0.25">
      <c r="B33" s="13" t="s">
        <v>300</v>
      </c>
      <c r="C33" s="13" t="s">
        <v>64</v>
      </c>
      <c r="D33" s="13" t="s">
        <v>273</v>
      </c>
      <c r="E33" s="13" t="s">
        <v>149</v>
      </c>
      <c r="F33" s="13" t="s">
        <v>47</v>
      </c>
      <c r="G33" s="13" t="s">
        <v>39</v>
      </c>
      <c r="H33" s="13"/>
      <c r="I33" s="13"/>
      <c r="J33" s="13"/>
      <c r="K33" s="13"/>
      <c r="L33" s="13" t="s">
        <v>149</v>
      </c>
      <c r="M33" s="13" t="s">
        <v>255</v>
      </c>
      <c r="N33" s="13"/>
      <c r="O33" s="13"/>
      <c r="P33" s="13"/>
      <c r="Q33" s="13"/>
      <c r="R33" s="13"/>
      <c r="S33" s="13"/>
      <c r="T33" s="13"/>
      <c r="U33" s="13"/>
      <c r="V33" s="13"/>
    </row>
    <row r="34" spans="2:22" x14ac:dyDescent="0.25">
      <c r="B34" s="13" t="s">
        <v>301</v>
      </c>
      <c r="C34" s="13" t="s">
        <v>64</v>
      </c>
      <c r="D34" s="13" t="s">
        <v>268</v>
      </c>
      <c r="E34" s="13" t="s">
        <v>149</v>
      </c>
      <c r="F34" s="13" t="s">
        <v>302</v>
      </c>
      <c r="G34" s="13" t="s">
        <v>39</v>
      </c>
      <c r="H34" s="13"/>
      <c r="I34" s="13"/>
      <c r="J34" s="13"/>
      <c r="K34" s="13"/>
      <c r="L34" s="13" t="s">
        <v>149</v>
      </c>
      <c r="M34" s="13" t="s">
        <v>253</v>
      </c>
      <c r="N34" s="13"/>
      <c r="O34" s="13"/>
      <c r="P34" s="13"/>
      <c r="Q34" s="13"/>
      <c r="R34" s="13"/>
      <c r="S34" s="13"/>
      <c r="T34" s="13"/>
      <c r="U34" s="13"/>
      <c r="V34" s="13"/>
    </row>
    <row r="35" spans="2:22" x14ac:dyDescent="0.25">
      <c r="B35" s="13" t="s">
        <v>303</v>
      </c>
      <c r="C35" s="13" t="s">
        <v>157</v>
      </c>
      <c r="D35" s="13" t="s">
        <v>268</v>
      </c>
      <c r="E35" s="13" t="s">
        <v>149</v>
      </c>
      <c r="F35" s="13" t="s">
        <v>45</v>
      </c>
      <c r="G35" s="13" t="s">
        <v>39</v>
      </c>
      <c r="H35" s="13"/>
      <c r="I35" s="13"/>
      <c r="J35" s="13"/>
      <c r="K35" s="13"/>
      <c r="L35" s="13" t="s">
        <v>149</v>
      </c>
      <c r="M35" s="13" t="s">
        <v>253</v>
      </c>
      <c r="N35" s="13"/>
      <c r="O35" s="13"/>
      <c r="P35" s="13"/>
      <c r="Q35" s="13"/>
      <c r="R35" s="13"/>
      <c r="S35" s="13"/>
      <c r="T35" s="13"/>
      <c r="U35" s="13"/>
      <c r="V35" s="13"/>
    </row>
    <row r="36" spans="2:22" x14ac:dyDescent="0.25">
      <c r="B36" s="13" t="s">
        <v>304</v>
      </c>
      <c r="C36" s="13" t="s">
        <v>157</v>
      </c>
      <c r="D36" s="13" t="s">
        <v>268</v>
      </c>
      <c r="E36" s="13" t="s">
        <v>149</v>
      </c>
      <c r="F36" s="13" t="s">
        <v>45</v>
      </c>
      <c r="G36" s="13" t="s">
        <v>39</v>
      </c>
      <c r="H36" s="13"/>
      <c r="I36" s="13"/>
      <c r="J36" s="13"/>
      <c r="K36" s="13"/>
      <c r="L36" s="13" t="s">
        <v>149</v>
      </c>
      <c r="M36" s="13" t="s">
        <v>253</v>
      </c>
      <c r="N36" s="13"/>
      <c r="O36" s="13"/>
      <c r="P36" s="13"/>
      <c r="Q36" s="13"/>
      <c r="R36" s="13"/>
      <c r="S36" s="13"/>
      <c r="T36" s="13"/>
      <c r="U36" s="13"/>
      <c r="V36" s="13"/>
    </row>
    <row r="37" spans="2:22" x14ac:dyDescent="0.25">
      <c r="B37" s="13" t="s">
        <v>67</v>
      </c>
      <c r="C37" s="13" t="s">
        <v>64</v>
      </c>
      <c r="D37" s="13" t="s">
        <v>268</v>
      </c>
      <c r="E37" s="13" t="s">
        <v>149</v>
      </c>
      <c r="F37" s="13" t="s">
        <v>277</v>
      </c>
      <c r="G37" s="13" t="s">
        <v>37</v>
      </c>
      <c r="H37" s="13"/>
      <c r="I37" s="13"/>
      <c r="J37" s="13"/>
      <c r="K37" s="13"/>
      <c r="L37" s="13" t="s">
        <v>149</v>
      </c>
      <c r="M37" s="13" t="s">
        <v>253</v>
      </c>
      <c r="N37" s="13"/>
      <c r="O37" s="13"/>
      <c r="P37" s="13"/>
      <c r="Q37" s="13"/>
      <c r="R37" s="13"/>
      <c r="S37" s="13"/>
      <c r="T37" s="13"/>
      <c r="U37" s="13"/>
      <c r="V37" s="13"/>
    </row>
    <row r="38" spans="2:22" x14ac:dyDescent="0.25">
      <c r="R38" s="41"/>
      <c r="S38" s="41"/>
    </row>
  </sheetData>
  <phoneticPr fontId="5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3AC3-E031-4356-9A54-3BECD2445B86}">
  <dimension ref="B2:G6"/>
  <sheetViews>
    <sheetView workbookViewId="0">
      <selection activeCell="O16" sqref="O16"/>
    </sheetView>
  </sheetViews>
  <sheetFormatPr defaultRowHeight="15" x14ac:dyDescent="0.25"/>
  <cols>
    <col min="3" max="3" width="19.7109375" customWidth="1"/>
    <col min="4" max="4" width="20.7109375" customWidth="1"/>
    <col min="5" max="5" width="27.85546875" customWidth="1"/>
    <col min="6" max="6" width="21.140625" customWidth="1"/>
    <col min="7" max="7" width="24.85546875" customWidth="1"/>
  </cols>
  <sheetData>
    <row r="2" spans="2:7" x14ac:dyDescent="0.25">
      <c r="B2" s="65" t="s">
        <v>41</v>
      </c>
      <c r="C2" s="65"/>
      <c r="D2" s="65"/>
      <c r="E2" s="65"/>
      <c r="F2" s="65"/>
      <c r="G2" s="65"/>
    </row>
    <row r="3" spans="2:7" x14ac:dyDescent="0.25">
      <c r="B3" s="66" t="s">
        <v>1</v>
      </c>
      <c r="C3" s="67"/>
      <c r="D3" s="68"/>
      <c r="E3" s="30" t="s">
        <v>305</v>
      </c>
      <c r="F3" s="30" t="s">
        <v>157</v>
      </c>
      <c r="G3" s="30" t="s">
        <v>64</v>
      </c>
    </row>
    <row r="4" spans="2:7" x14ac:dyDescent="0.25">
      <c r="B4" s="46" t="s">
        <v>149</v>
      </c>
      <c r="C4" s="3" t="s">
        <v>5</v>
      </c>
      <c r="D4" s="3" t="s">
        <v>306</v>
      </c>
      <c r="E4" s="46" t="s">
        <v>307</v>
      </c>
      <c r="F4" s="31">
        <v>10.294</v>
      </c>
      <c r="G4" s="31">
        <v>2.5529999999999999</v>
      </c>
    </row>
    <row r="5" spans="2:7" x14ac:dyDescent="0.25">
      <c r="B5" s="46" t="s">
        <v>150</v>
      </c>
      <c r="C5" s="3" t="s">
        <v>6</v>
      </c>
      <c r="D5" s="3" t="s">
        <v>308</v>
      </c>
      <c r="E5" s="46" t="s">
        <v>309</v>
      </c>
      <c r="F5" s="32">
        <v>7.4388240000000003</v>
      </c>
      <c r="G5" s="32">
        <v>2.0235289999999999</v>
      </c>
    </row>
    <row r="6" spans="2:7" x14ac:dyDescent="0.25">
      <c r="B6" s="46" t="s">
        <v>151</v>
      </c>
      <c r="C6" s="3" t="s">
        <v>7</v>
      </c>
      <c r="D6" s="3" t="s">
        <v>308</v>
      </c>
      <c r="E6" s="46" t="s">
        <v>310</v>
      </c>
      <c r="F6" s="32">
        <v>3.452</v>
      </c>
      <c r="G6" s="32">
        <v>4.1734999999999998</v>
      </c>
    </row>
  </sheetData>
  <mergeCells count="2">
    <mergeCell ref="B2:G2"/>
    <mergeCell ref="B3:D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F709-2DE6-4AD4-B25B-69C53DFB205C}">
  <dimension ref="B2:W96"/>
  <sheetViews>
    <sheetView zoomScale="70" zoomScaleNormal="70" workbookViewId="0">
      <selection activeCell="AE46" sqref="AE46"/>
    </sheetView>
  </sheetViews>
  <sheetFormatPr defaultRowHeight="15" x14ac:dyDescent="0.25"/>
  <cols>
    <col min="1" max="6" width="9.140625" style="13"/>
    <col min="7" max="7" width="13.140625" style="13" bestFit="1" customWidth="1"/>
    <col min="8" max="8" width="11.85546875" style="13" customWidth="1"/>
    <col min="9" max="9" width="12.5703125" style="13" bestFit="1" customWidth="1"/>
    <col min="10" max="16384" width="9.140625" style="13"/>
  </cols>
  <sheetData>
    <row r="2" spans="2:23" s="24" customFormat="1" ht="14.25" x14ac:dyDescent="0.2">
      <c r="B2" s="24" t="s">
        <v>311</v>
      </c>
      <c r="C2" s="24" t="s">
        <v>312</v>
      </c>
      <c r="D2" s="24" t="s">
        <v>313</v>
      </c>
      <c r="E2" s="24" t="s">
        <v>314</v>
      </c>
      <c r="F2" s="24" t="s">
        <v>315</v>
      </c>
      <c r="G2" s="24" t="s">
        <v>316</v>
      </c>
      <c r="H2" s="24" t="s">
        <v>317</v>
      </c>
      <c r="I2" s="24" t="s">
        <v>318</v>
      </c>
      <c r="J2" s="24" t="s">
        <v>319</v>
      </c>
      <c r="K2" s="24" t="s">
        <v>320</v>
      </c>
      <c r="L2" s="24" t="s">
        <v>321</v>
      </c>
      <c r="M2" s="24" t="s">
        <v>37</v>
      </c>
      <c r="N2" s="24" t="s">
        <v>42</v>
      </c>
      <c r="O2" s="24" t="s">
        <v>43</v>
      </c>
      <c r="P2" s="24" t="s">
        <v>44</v>
      </c>
      <c r="Q2" s="24" t="s">
        <v>45</v>
      </c>
      <c r="R2" s="24" t="s">
        <v>46</v>
      </c>
      <c r="S2" s="24" t="s">
        <v>47</v>
      </c>
      <c r="T2" s="24" t="s">
        <v>48</v>
      </c>
      <c r="U2" s="24" t="s">
        <v>31</v>
      </c>
      <c r="V2" s="24" t="s">
        <v>32</v>
      </c>
      <c r="W2" s="24" t="s">
        <v>33</v>
      </c>
    </row>
    <row r="3" spans="2:23" x14ac:dyDescent="0.25">
      <c r="B3" s="13">
        <v>1</v>
      </c>
      <c r="C3" s="13" t="s">
        <v>8</v>
      </c>
      <c r="D3" s="13" t="s">
        <v>322</v>
      </c>
      <c r="E3" s="13" t="s">
        <v>323</v>
      </c>
      <c r="F3" s="13">
        <v>0.22670000000000001</v>
      </c>
      <c r="G3" s="13">
        <v>7</v>
      </c>
      <c r="H3" s="13">
        <v>30.88</v>
      </c>
      <c r="I3" s="13">
        <v>1</v>
      </c>
      <c r="J3" s="13">
        <v>4</v>
      </c>
      <c r="K3" s="13">
        <v>3</v>
      </c>
      <c r="L3" s="13">
        <v>0</v>
      </c>
      <c r="M3" s="13">
        <v>0</v>
      </c>
      <c r="N3" s="13">
        <v>1</v>
      </c>
      <c r="O3" s="13">
        <v>1</v>
      </c>
      <c r="P3" s="13">
        <v>0</v>
      </c>
      <c r="Q3" s="13">
        <v>5</v>
      </c>
      <c r="R3" s="13">
        <v>0</v>
      </c>
      <c r="S3" s="13">
        <v>0</v>
      </c>
      <c r="T3" s="13">
        <v>0</v>
      </c>
      <c r="U3" s="13">
        <v>5</v>
      </c>
      <c r="V3" s="13">
        <v>1</v>
      </c>
      <c r="W3" s="13">
        <v>1</v>
      </c>
    </row>
    <row r="4" spans="2:23" x14ac:dyDescent="0.25">
      <c r="B4" s="13">
        <v>2</v>
      </c>
      <c r="C4" s="13" t="s">
        <v>8</v>
      </c>
      <c r="D4" s="13" t="s">
        <v>322</v>
      </c>
      <c r="E4" s="13" t="s">
        <v>64</v>
      </c>
      <c r="F4" s="13">
        <v>0.52939999999999998</v>
      </c>
      <c r="G4" s="13">
        <v>2</v>
      </c>
      <c r="H4" s="13">
        <v>3.78</v>
      </c>
      <c r="I4" s="13">
        <v>1</v>
      </c>
      <c r="J4" s="13">
        <v>0</v>
      </c>
      <c r="K4" s="13">
        <v>2</v>
      </c>
      <c r="L4" s="13">
        <v>0</v>
      </c>
      <c r="M4" s="13">
        <v>0</v>
      </c>
      <c r="N4" s="13">
        <v>1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2</v>
      </c>
      <c r="V4" s="13">
        <v>0</v>
      </c>
      <c r="W4" s="13">
        <v>0</v>
      </c>
    </row>
    <row r="5" spans="2:23" x14ac:dyDescent="0.25">
      <c r="B5" s="13">
        <v>3</v>
      </c>
      <c r="C5" s="13" t="s">
        <v>8</v>
      </c>
      <c r="D5" s="13" t="s">
        <v>324</v>
      </c>
      <c r="E5" s="13" t="s">
        <v>323</v>
      </c>
      <c r="F5" s="13">
        <v>0.12089999999999999</v>
      </c>
      <c r="G5" s="13">
        <v>5</v>
      </c>
      <c r="H5" s="13">
        <v>41.36</v>
      </c>
      <c r="I5" s="13">
        <v>1</v>
      </c>
      <c r="J5" s="13">
        <v>1</v>
      </c>
      <c r="K5" s="13">
        <v>3</v>
      </c>
      <c r="L5" s="13">
        <v>0</v>
      </c>
      <c r="M5" s="13">
        <v>1</v>
      </c>
      <c r="N5" s="13">
        <v>0</v>
      </c>
      <c r="O5" s="13">
        <v>1</v>
      </c>
      <c r="P5" s="13">
        <v>0</v>
      </c>
      <c r="Q5" s="13">
        <v>2</v>
      </c>
      <c r="R5" s="13">
        <v>2</v>
      </c>
      <c r="S5" s="13">
        <v>0</v>
      </c>
      <c r="T5" s="13">
        <v>0</v>
      </c>
      <c r="U5" s="13">
        <v>3</v>
      </c>
      <c r="V5" s="13">
        <v>1</v>
      </c>
      <c r="W5" s="13">
        <v>1</v>
      </c>
    </row>
    <row r="6" spans="2:23" x14ac:dyDescent="0.25">
      <c r="B6" s="13">
        <v>4</v>
      </c>
      <c r="C6" s="13" t="s">
        <v>8</v>
      </c>
      <c r="D6" s="13" t="s">
        <v>324</v>
      </c>
      <c r="E6" s="13" t="s">
        <v>64</v>
      </c>
      <c r="F6" s="13">
        <v>0.33629999999999999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</row>
    <row r="7" spans="2:23" x14ac:dyDescent="0.25">
      <c r="B7" s="13">
        <v>5</v>
      </c>
      <c r="C7" s="13" t="s">
        <v>8</v>
      </c>
      <c r="D7" s="13" t="s">
        <v>325</v>
      </c>
      <c r="E7" s="13" t="s">
        <v>323</v>
      </c>
      <c r="F7" s="13">
        <v>0.11600000000000001</v>
      </c>
      <c r="G7" s="13">
        <v>3</v>
      </c>
      <c r="H7" s="13">
        <v>25.86</v>
      </c>
      <c r="I7" s="13">
        <v>1</v>
      </c>
      <c r="J7" s="13">
        <v>0</v>
      </c>
      <c r="K7" s="13">
        <v>1</v>
      </c>
      <c r="L7" s="13">
        <v>2</v>
      </c>
      <c r="M7" s="13">
        <v>0</v>
      </c>
      <c r="N7" s="13">
        <v>0</v>
      </c>
      <c r="O7" s="13">
        <v>0</v>
      </c>
      <c r="P7" s="13">
        <v>0</v>
      </c>
      <c r="Q7" s="13">
        <v>3</v>
      </c>
      <c r="R7" s="13">
        <v>0</v>
      </c>
      <c r="S7" s="13">
        <v>0</v>
      </c>
      <c r="T7" s="13">
        <v>0</v>
      </c>
      <c r="U7" s="13">
        <v>2</v>
      </c>
      <c r="V7" s="13">
        <v>1</v>
      </c>
      <c r="W7" s="13">
        <v>0</v>
      </c>
    </row>
    <row r="8" spans="2:23" x14ac:dyDescent="0.25">
      <c r="B8" s="13">
        <v>6</v>
      </c>
      <c r="C8" s="13" t="s">
        <v>8</v>
      </c>
      <c r="D8" s="13" t="s">
        <v>325</v>
      </c>
      <c r="E8" s="13" t="s">
        <v>64</v>
      </c>
      <c r="F8" s="13">
        <v>0.39760000000000001</v>
      </c>
      <c r="G8" s="13">
        <v>2</v>
      </c>
      <c r="H8" s="13">
        <v>5.03</v>
      </c>
      <c r="I8" s="13">
        <v>1</v>
      </c>
      <c r="J8" s="13">
        <v>1</v>
      </c>
      <c r="K8" s="13">
        <v>0</v>
      </c>
      <c r="L8" s="13">
        <v>0</v>
      </c>
      <c r="M8" s="13">
        <v>1</v>
      </c>
      <c r="N8" s="13">
        <v>0</v>
      </c>
      <c r="O8" s="13">
        <v>1</v>
      </c>
      <c r="P8" s="13">
        <v>0</v>
      </c>
      <c r="Q8" s="13">
        <v>0</v>
      </c>
      <c r="R8" s="13">
        <v>1</v>
      </c>
      <c r="S8" s="13">
        <v>0</v>
      </c>
      <c r="T8" s="13">
        <v>0</v>
      </c>
      <c r="U8" s="13">
        <v>1</v>
      </c>
      <c r="V8" s="13">
        <v>1</v>
      </c>
      <c r="W8" s="13">
        <v>0</v>
      </c>
    </row>
    <row r="9" spans="2:23" x14ac:dyDescent="0.25">
      <c r="B9" s="13">
        <v>7</v>
      </c>
      <c r="C9" s="13" t="s">
        <v>8</v>
      </c>
      <c r="D9" s="13" t="s">
        <v>326</v>
      </c>
      <c r="E9" s="13" t="s">
        <v>323</v>
      </c>
      <c r="F9" s="13">
        <v>0.2175</v>
      </c>
      <c r="G9" s="13">
        <v>3</v>
      </c>
      <c r="H9" s="13">
        <v>13.79</v>
      </c>
      <c r="I9" s="13">
        <v>1</v>
      </c>
      <c r="J9" s="13">
        <v>2</v>
      </c>
      <c r="K9" s="13">
        <v>1</v>
      </c>
      <c r="L9" s="13">
        <v>0</v>
      </c>
      <c r="M9" s="13">
        <v>0</v>
      </c>
      <c r="N9" s="13">
        <v>1</v>
      </c>
      <c r="O9" s="13">
        <v>0</v>
      </c>
      <c r="P9" s="13">
        <v>0</v>
      </c>
      <c r="Q9" s="13">
        <v>2</v>
      </c>
      <c r="R9" s="13">
        <v>0</v>
      </c>
      <c r="S9" s="13">
        <v>0</v>
      </c>
      <c r="T9" s="13">
        <v>0</v>
      </c>
      <c r="U9" s="13">
        <v>2</v>
      </c>
      <c r="V9" s="13">
        <v>1</v>
      </c>
      <c r="W9" s="13">
        <v>0</v>
      </c>
    </row>
    <row r="10" spans="2:23" x14ac:dyDescent="0.25">
      <c r="B10" s="13">
        <v>8</v>
      </c>
      <c r="C10" s="13" t="s">
        <v>8</v>
      </c>
      <c r="D10" s="13" t="s">
        <v>326</v>
      </c>
      <c r="E10" s="13" t="s">
        <v>64</v>
      </c>
      <c r="F10" s="13">
        <v>0.43769999999999998</v>
      </c>
      <c r="G10" s="13">
        <v>1</v>
      </c>
      <c r="H10" s="13">
        <v>2.2799999999999998</v>
      </c>
      <c r="I10" s="13">
        <v>1</v>
      </c>
      <c r="J10" s="13">
        <v>1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1</v>
      </c>
      <c r="R10" s="13">
        <v>0</v>
      </c>
      <c r="S10" s="13">
        <v>0</v>
      </c>
      <c r="T10" s="13">
        <v>0</v>
      </c>
      <c r="U10" s="13">
        <v>0</v>
      </c>
      <c r="V10" s="13">
        <v>1</v>
      </c>
      <c r="W10" s="13">
        <v>0</v>
      </c>
    </row>
    <row r="11" spans="2:23" x14ac:dyDescent="0.25">
      <c r="B11" s="13">
        <v>9</v>
      </c>
      <c r="C11" s="13" t="s">
        <v>8</v>
      </c>
      <c r="D11" s="13" t="s">
        <v>327</v>
      </c>
      <c r="E11" s="13" t="s">
        <v>323</v>
      </c>
      <c r="F11" s="13">
        <v>0.25700000000000001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</row>
    <row r="12" spans="2:23" x14ac:dyDescent="0.25">
      <c r="B12" s="13">
        <v>10</v>
      </c>
      <c r="C12" s="13" t="s">
        <v>8</v>
      </c>
      <c r="D12" s="13" t="s">
        <v>327</v>
      </c>
      <c r="E12" s="13" t="s">
        <v>64</v>
      </c>
      <c r="F12" s="13">
        <v>0.46660000000000001</v>
      </c>
      <c r="G12" s="13">
        <v>2</v>
      </c>
      <c r="H12" s="13">
        <v>4.29</v>
      </c>
      <c r="I12" s="13">
        <v>1</v>
      </c>
      <c r="J12" s="13">
        <v>2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2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1</v>
      </c>
      <c r="W12" s="13">
        <v>1</v>
      </c>
    </row>
    <row r="13" spans="2:23" x14ac:dyDescent="0.25">
      <c r="B13" s="13">
        <v>11</v>
      </c>
      <c r="C13" s="13" t="s">
        <v>8</v>
      </c>
      <c r="D13" s="13" t="s">
        <v>328</v>
      </c>
      <c r="E13" s="13" t="s">
        <v>323</v>
      </c>
      <c r="F13" s="13">
        <v>0.17150000000000001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</row>
    <row r="14" spans="2:23" x14ac:dyDescent="0.25">
      <c r="B14" s="13">
        <v>12</v>
      </c>
      <c r="C14" s="13" t="s">
        <v>8</v>
      </c>
      <c r="D14" s="13" t="s">
        <v>328</v>
      </c>
      <c r="E14" s="13" t="s">
        <v>64</v>
      </c>
      <c r="F14" s="13">
        <v>0.3952</v>
      </c>
      <c r="G14" s="13">
        <v>3</v>
      </c>
      <c r="H14" s="13">
        <v>7.59</v>
      </c>
      <c r="I14" s="13">
        <v>1</v>
      </c>
      <c r="J14" s="13">
        <v>0</v>
      </c>
      <c r="K14" s="13">
        <v>0</v>
      </c>
      <c r="L14" s="13">
        <v>3</v>
      </c>
      <c r="M14" s="13">
        <v>0</v>
      </c>
      <c r="N14" s="13">
        <v>1</v>
      </c>
      <c r="O14" s="13">
        <v>0</v>
      </c>
      <c r="P14" s="13">
        <v>0</v>
      </c>
      <c r="Q14" s="13">
        <v>0</v>
      </c>
      <c r="R14" s="13">
        <v>0</v>
      </c>
      <c r="S14" s="13">
        <v>1</v>
      </c>
      <c r="T14" s="13">
        <v>1</v>
      </c>
      <c r="U14" s="13">
        <v>1</v>
      </c>
      <c r="V14" s="13">
        <v>2</v>
      </c>
      <c r="W14" s="13">
        <v>0</v>
      </c>
    </row>
    <row r="15" spans="2:23" x14ac:dyDescent="0.25">
      <c r="B15" s="13">
        <v>13</v>
      </c>
      <c r="C15" s="13" t="s">
        <v>8</v>
      </c>
      <c r="D15" s="13" t="s">
        <v>329</v>
      </c>
      <c r="E15" s="13" t="s">
        <v>323</v>
      </c>
      <c r="F15" s="13">
        <v>0.1658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</row>
    <row r="16" spans="2:23" x14ac:dyDescent="0.25">
      <c r="B16" s="13">
        <v>14</v>
      </c>
      <c r="C16" s="13" t="s">
        <v>8</v>
      </c>
      <c r="D16" s="13" t="s">
        <v>329</v>
      </c>
      <c r="E16" s="13" t="s">
        <v>64</v>
      </c>
      <c r="F16" s="13">
        <v>0.3886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2:23" x14ac:dyDescent="0.25">
      <c r="B17" s="13">
        <v>15</v>
      </c>
      <c r="C17" s="13" t="s">
        <v>8</v>
      </c>
      <c r="D17" s="13" t="s">
        <v>330</v>
      </c>
      <c r="E17" s="13" t="s">
        <v>323</v>
      </c>
      <c r="F17" s="13">
        <v>0.36559999999999998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2:23" x14ac:dyDescent="0.25">
      <c r="B18" s="13">
        <v>16</v>
      </c>
      <c r="C18" s="13" t="s">
        <v>8</v>
      </c>
      <c r="D18" s="13" t="s">
        <v>330</v>
      </c>
      <c r="E18" s="13" t="s">
        <v>64</v>
      </c>
      <c r="F18" s="13">
        <v>0.65410000000000001</v>
      </c>
      <c r="G18" s="13">
        <v>2</v>
      </c>
      <c r="H18" s="13">
        <v>3.06</v>
      </c>
      <c r="I18" s="13">
        <v>1</v>
      </c>
      <c r="J18" s="13">
        <v>2</v>
      </c>
      <c r="K18" s="13">
        <v>0</v>
      </c>
      <c r="L18" s="13">
        <v>0</v>
      </c>
      <c r="M18" s="13">
        <v>0</v>
      </c>
      <c r="N18" s="13">
        <v>1</v>
      </c>
      <c r="O18" s="13">
        <v>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1</v>
      </c>
      <c r="W18" s="13">
        <v>1</v>
      </c>
    </row>
    <row r="19" spans="2:23" x14ac:dyDescent="0.25">
      <c r="B19" s="13">
        <v>17</v>
      </c>
      <c r="C19" s="13" t="s">
        <v>8</v>
      </c>
      <c r="D19" s="13" t="s">
        <v>331</v>
      </c>
      <c r="E19" s="13" t="s">
        <v>323</v>
      </c>
      <c r="F19" s="13">
        <v>0.23830000000000001</v>
      </c>
      <c r="G19" s="13">
        <v>1</v>
      </c>
      <c r="H19" s="13">
        <v>4.2</v>
      </c>
      <c r="I19" s="13">
        <v>1</v>
      </c>
      <c r="J19" s="13">
        <v>0</v>
      </c>
      <c r="K19" s="13">
        <v>1</v>
      </c>
      <c r="L19" s="13">
        <v>0</v>
      </c>
      <c r="M19" s="13">
        <v>0</v>
      </c>
      <c r="N19" s="13">
        <v>1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1</v>
      </c>
      <c r="V19" s="13">
        <v>0</v>
      </c>
      <c r="W19" s="13">
        <v>0</v>
      </c>
    </row>
    <row r="20" spans="2:23" x14ac:dyDescent="0.25">
      <c r="B20" s="13">
        <v>18</v>
      </c>
      <c r="C20" s="13" t="s">
        <v>8</v>
      </c>
      <c r="D20" s="13" t="s">
        <v>331</v>
      </c>
      <c r="E20" s="13" t="s">
        <v>64</v>
      </c>
      <c r="F20" s="13">
        <v>0.53220000000000001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</row>
    <row r="21" spans="2:23" x14ac:dyDescent="0.25">
      <c r="B21" s="13">
        <v>19</v>
      </c>
      <c r="C21" s="13" t="s">
        <v>8</v>
      </c>
      <c r="D21" s="13" t="s">
        <v>332</v>
      </c>
      <c r="E21" s="13" t="s">
        <v>323</v>
      </c>
      <c r="F21" s="13">
        <v>0.24460000000000001</v>
      </c>
      <c r="G21" s="13">
        <v>1</v>
      </c>
      <c r="H21" s="13">
        <v>4.09</v>
      </c>
      <c r="I21" s="13">
        <v>1</v>
      </c>
      <c r="J21" s="13">
        <v>1</v>
      </c>
      <c r="K21" s="13">
        <v>0</v>
      </c>
      <c r="L21" s="13">
        <v>0</v>
      </c>
      <c r="M21" s="13">
        <v>0</v>
      </c>
      <c r="N21" s="13">
        <v>1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1</v>
      </c>
      <c r="V21" s="13">
        <v>0</v>
      </c>
      <c r="W21" s="13">
        <v>0</v>
      </c>
    </row>
    <row r="22" spans="2:23" x14ac:dyDescent="0.25">
      <c r="B22" s="13">
        <v>20</v>
      </c>
      <c r="C22" s="13" t="s">
        <v>8</v>
      </c>
      <c r="D22" s="13" t="s">
        <v>332</v>
      </c>
      <c r="E22" s="13" t="s">
        <v>64</v>
      </c>
      <c r="F22" s="13">
        <v>0.49230000000000002</v>
      </c>
      <c r="G22" s="13">
        <v>1</v>
      </c>
      <c r="H22" s="13">
        <v>2.0299999999999998</v>
      </c>
      <c r="I22" s="13">
        <v>1</v>
      </c>
      <c r="J22" s="13">
        <v>1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1</v>
      </c>
      <c r="R22" s="13">
        <v>0</v>
      </c>
      <c r="S22" s="13">
        <v>0</v>
      </c>
      <c r="T22" s="13">
        <v>0</v>
      </c>
      <c r="U22" s="13">
        <v>0</v>
      </c>
      <c r="V22" s="13">
        <v>1</v>
      </c>
      <c r="W22" s="13">
        <v>0</v>
      </c>
    </row>
    <row r="23" spans="2:23" x14ac:dyDescent="0.25">
      <c r="B23" s="13">
        <v>21</v>
      </c>
      <c r="C23" s="13" t="s">
        <v>9</v>
      </c>
      <c r="D23" s="13" t="s">
        <v>353</v>
      </c>
      <c r="E23" s="13" t="s">
        <v>323</v>
      </c>
      <c r="F23" s="13">
        <v>0.23019999999999999</v>
      </c>
      <c r="G23" s="13">
        <v>2</v>
      </c>
      <c r="H23" s="13">
        <v>8.69</v>
      </c>
      <c r="I23" s="13">
        <v>1</v>
      </c>
      <c r="J23" s="13">
        <v>0</v>
      </c>
      <c r="K23" s="13">
        <v>2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2</v>
      </c>
      <c r="S23" s="13">
        <v>0</v>
      </c>
      <c r="T23" s="13">
        <v>0</v>
      </c>
      <c r="U23" s="13">
        <v>2</v>
      </c>
      <c r="V23" s="13">
        <v>0</v>
      </c>
      <c r="W23" s="13">
        <v>0</v>
      </c>
    </row>
    <row r="24" spans="2:23" x14ac:dyDescent="0.25">
      <c r="B24" s="13">
        <v>22</v>
      </c>
      <c r="C24" s="13" t="s">
        <v>9</v>
      </c>
      <c r="D24" s="13" t="s">
        <v>353</v>
      </c>
      <c r="E24" s="13" t="s">
        <v>64</v>
      </c>
      <c r="F24" s="13">
        <v>0.43049999999999999</v>
      </c>
      <c r="G24" s="13">
        <v>3</v>
      </c>
      <c r="H24" s="13">
        <v>6.97</v>
      </c>
      <c r="I24" s="13">
        <v>1</v>
      </c>
      <c r="J24" s="13">
        <v>3</v>
      </c>
      <c r="K24" s="13">
        <v>0</v>
      </c>
      <c r="L24" s="13">
        <v>0</v>
      </c>
      <c r="M24" s="13">
        <v>0</v>
      </c>
      <c r="N24" s="13">
        <v>0</v>
      </c>
      <c r="O24" s="13">
        <v>2</v>
      </c>
      <c r="P24" s="13">
        <v>1</v>
      </c>
      <c r="Q24" s="13">
        <v>0</v>
      </c>
      <c r="R24" s="13">
        <v>0</v>
      </c>
      <c r="S24" s="13">
        <v>0</v>
      </c>
      <c r="T24" s="13">
        <v>0</v>
      </c>
      <c r="U24" s="13">
        <v>1</v>
      </c>
      <c r="V24" s="13">
        <v>0</v>
      </c>
      <c r="W24" s="13">
        <v>2</v>
      </c>
    </row>
    <row r="25" spans="2:23" x14ac:dyDescent="0.25">
      <c r="B25" s="13">
        <v>23</v>
      </c>
      <c r="C25" s="13" t="s">
        <v>9</v>
      </c>
      <c r="D25" s="13" t="s">
        <v>354</v>
      </c>
      <c r="E25" s="13" t="s">
        <v>323</v>
      </c>
      <c r="F25" s="13">
        <v>0.1205</v>
      </c>
      <c r="G25" s="13">
        <v>1</v>
      </c>
      <c r="H25" s="13">
        <v>8.3000000000000007</v>
      </c>
      <c r="I25" s="13">
        <v>1</v>
      </c>
      <c r="J25" s="13">
        <v>0</v>
      </c>
      <c r="K25" s="13">
        <v>0</v>
      </c>
      <c r="L25" s="13">
        <v>1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1</v>
      </c>
      <c r="U25" s="13">
        <v>0</v>
      </c>
      <c r="V25" s="13">
        <v>1</v>
      </c>
      <c r="W25" s="13">
        <v>0</v>
      </c>
    </row>
    <row r="26" spans="2:23" x14ac:dyDescent="0.25">
      <c r="B26" s="13">
        <v>24</v>
      </c>
      <c r="C26" s="13" t="s">
        <v>9</v>
      </c>
      <c r="D26" s="13" t="s">
        <v>354</v>
      </c>
      <c r="E26" s="13" t="s">
        <v>64</v>
      </c>
      <c r="F26" s="13">
        <v>0.32519999999999999</v>
      </c>
      <c r="G26" s="13">
        <v>7</v>
      </c>
      <c r="H26" s="13">
        <v>21.53</v>
      </c>
      <c r="I26" s="13">
        <v>1</v>
      </c>
      <c r="J26" s="13">
        <v>1</v>
      </c>
      <c r="K26" s="13">
        <v>0</v>
      </c>
      <c r="L26" s="13">
        <v>0</v>
      </c>
      <c r="M26" s="13">
        <v>6</v>
      </c>
      <c r="N26" s="13">
        <v>0</v>
      </c>
      <c r="O26" s="13">
        <v>0</v>
      </c>
      <c r="P26" s="13">
        <v>0</v>
      </c>
      <c r="Q26" s="13">
        <v>0</v>
      </c>
      <c r="R26" s="13">
        <v>7</v>
      </c>
      <c r="S26" s="13">
        <v>0</v>
      </c>
      <c r="T26" s="13">
        <v>0</v>
      </c>
      <c r="U26" s="13">
        <v>4</v>
      </c>
      <c r="V26" s="13">
        <v>2</v>
      </c>
      <c r="W26" s="13">
        <v>1</v>
      </c>
    </row>
    <row r="27" spans="2:23" x14ac:dyDescent="0.25">
      <c r="B27" s="13">
        <v>25</v>
      </c>
      <c r="C27" s="13" t="s">
        <v>9</v>
      </c>
      <c r="D27" s="13" t="s">
        <v>355</v>
      </c>
      <c r="E27" s="13" t="s">
        <v>323</v>
      </c>
      <c r="F27" s="13">
        <v>0.37280000000000002</v>
      </c>
      <c r="G27" s="13">
        <v>4</v>
      </c>
      <c r="H27" s="13">
        <v>10.73</v>
      </c>
      <c r="I27" s="13">
        <v>1</v>
      </c>
      <c r="J27" s="13">
        <v>0</v>
      </c>
      <c r="K27" s="13">
        <v>1</v>
      </c>
      <c r="L27" s="13">
        <v>3</v>
      </c>
      <c r="M27" s="13">
        <v>0</v>
      </c>
      <c r="N27" s="13">
        <v>0</v>
      </c>
      <c r="O27" s="13">
        <v>0</v>
      </c>
      <c r="P27" s="13">
        <v>1</v>
      </c>
      <c r="Q27" s="13">
        <v>3</v>
      </c>
      <c r="R27" s="13">
        <v>0</v>
      </c>
      <c r="S27" s="13">
        <v>0</v>
      </c>
      <c r="T27" s="13">
        <v>0</v>
      </c>
      <c r="U27" s="13">
        <v>2</v>
      </c>
      <c r="V27" s="13">
        <v>1</v>
      </c>
      <c r="W27" s="13">
        <v>1</v>
      </c>
    </row>
    <row r="28" spans="2:23" x14ac:dyDescent="0.25">
      <c r="B28" s="13">
        <v>26</v>
      </c>
      <c r="C28" s="13" t="s">
        <v>9</v>
      </c>
      <c r="D28" s="13" t="s">
        <v>355</v>
      </c>
      <c r="E28" s="13" t="s">
        <v>64</v>
      </c>
      <c r="F28" s="13">
        <v>0.57520000000000004</v>
      </c>
      <c r="G28" s="13">
        <v>6</v>
      </c>
      <c r="H28" s="13">
        <v>10.43</v>
      </c>
      <c r="I28" s="13">
        <v>1</v>
      </c>
      <c r="J28" s="13">
        <v>0</v>
      </c>
      <c r="K28" s="13">
        <v>1</v>
      </c>
      <c r="L28" s="13">
        <v>1</v>
      </c>
      <c r="M28" s="13">
        <v>4</v>
      </c>
      <c r="N28" s="13">
        <v>0</v>
      </c>
      <c r="O28" s="13">
        <v>2</v>
      </c>
      <c r="P28" s="13">
        <v>0</v>
      </c>
      <c r="Q28" s="13">
        <v>0</v>
      </c>
      <c r="R28" s="13">
        <v>1</v>
      </c>
      <c r="S28" s="13">
        <v>3</v>
      </c>
      <c r="T28" s="13">
        <v>0</v>
      </c>
      <c r="U28" s="13">
        <v>2</v>
      </c>
      <c r="V28" s="13">
        <v>3</v>
      </c>
      <c r="W28" s="13">
        <v>1</v>
      </c>
    </row>
    <row r="29" spans="2:23" x14ac:dyDescent="0.25">
      <c r="B29" s="13">
        <v>27</v>
      </c>
      <c r="C29" s="13" t="s">
        <v>9</v>
      </c>
      <c r="D29" s="13" t="s">
        <v>356</v>
      </c>
      <c r="E29" s="13" t="s">
        <v>323</v>
      </c>
      <c r="F29" s="13">
        <v>0.17510000000000001</v>
      </c>
      <c r="G29" s="13">
        <v>3</v>
      </c>
      <c r="H29" s="13">
        <v>17.13</v>
      </c>
      <c r="I29" s="13">
        <v>1</v>
      </c>
      <c r="J29" s="13">
        <v>2</v>
      </c>
      <c r="K29" s="13">
        <v>1</v>
      </c>
      <c r="L29" s="13">
        <v>0</v>
      </c>
      <c r="M29" s="13">
        <v>0</v>
      </c>
      <c r="N29" s="13">
        <v>2</v>
      </c>
      <c r="O29" s="13">
        <v>0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1</v>
      </c>
      <c r="V29" s="13">
        <v>2</v>
      </c>
      <c r="W29" s="13">
        <v>0</v>
      </c>
    </row>
    <row r="30" spans="2:23" x14ac:dyDescent="0.25">
      <c r="B30" s="13">
        <v>28</v>
      </c>
      <c r="C30" s="13" t="s">
        <v>9</v>
      </c>
      <c r="D30" s="13" t="s">
        <v>356</v>
      </c>
      <c r="E30" s="13" t="s">
        <v>64</v>
      </c>
      <c r="F30" s="13">
        <v>0.3851</v>
      </c>
      <c r="G30" s="13">
        <v>4</v>
      </c>
      <c r="H30" s="13">
        <v>10.39</v>
      </c>
      <c r="I30" s="13">
        <v>1</v>
      </c>
      <c r="J30" s="13">
        <v>1</v>
      </c>
      <c r="K30" s="13">
        <v>3</v>
      </c>
      <c r="L30" s="13">
        <v>0</v>
      </c>
      <c r="M30" s="13">
        <v>0</v>
      </c>
      <c r="N30" s="13">
        <v>0</v>
      </c>
      <c r="O30" s="13">
        <v>2</v>
      </c>
      <c r="P30" s="13">
        <v>1</v>
      </c>
      <c r="Q30" s="13">
        <v>1</v>
      </c>
      <c r="R30" s="13">
        <v>0</v>
      </c>
      <c r="S30" s="13">
        <v>0</v>
      </c>
      <c r="T30" s="13">
        <v>0</v>
      </c>
      <c r="U30" s="13">
        <v>3</v>
      </c>
      <c r="V30" s="13">
        <v>1</v>
      </c>
      <c r="W30" s="13">
        <v>0</v>
      </c>
    </row>
    <row r="31" spans="2:23" x14ac:dyDescent="0.25">
      <c r="B31" s="13">
        <v>29</v>
      </c>
      <c r="C31" s="13" t="s">
        <v>9</v>
      </c>
      <c r="D31" s="13" t="s">
        <v>357</v>
      </c>
      <c r="E31" s="13" t="s">
        <v>323</v>
      </c>
      <c r="F31" s="13">
        <v>0.14099999999999999</v>
      </c>
      <c r="G31" s="13">
        <v>5</v>
      </c>
      <c r="H31" s="13">
        <v>35.46</v>
      </c>
      <c r="I31" s="13">
        <v>1</v>
      </c>
      <c r="J31" s="13">
        <v>2</v>
      </c>
      <c r="K31" s="13">
        <v>2</v>
      </c>
      <c r="L31" s="13">
        <v>1</v>
      </c>
      <c r="M31" s="13">
        <v>0</v>
      </c>
      <c r="N31" s="13">
        <v>1</v>
      </c>
      <c r="O31" s="13">
        <v>3</v>
      </c>
      <c r="P31" s="13">
        <v>0</v>
      </c>
      <c r="Q31" s="13">
        <v>1</v>
      </c>
      <c r="R31" s="13">
        <v>0</v>
      </c>
      <c r="S31" s="13">
        <v>0</v>
      </c>
      <c r="T31" s="13">
        <v>0</v>
      </c>
      <c r="U31" s="13">
        <v>3</v>
      </c>
      <c r="V31" s="13">
        <v>1</v>
      </c>
      <c r="W31" s="13">
        <v>1</v>
      </c>
    </row>
    <row r="32" spans="2:23" x14ac:dyDescent="0.25">
      <c r="B32" s="13">
        <v>30</v>
      </c>
      <c r="C32" s="13" t="s">
        <v>9</v>
      </c>
      <c r="D32" s="13" t="s">
        <v>357</v>
      </c>
      <c r="E32" s="13" t="s">
        <v>64</v>
      </c>
      <c r="F32" s="13">
        <v>0.44800000000000001</v>
      </c>
      <c r="G32" s="13">
        <v>5</v>
      </c>
      <c r="H32" s="13">
        <v>11.16</v>
      </c>
      <c r="I32" s="13">
        <v>1</v>
      </c>
      <c r="J32" s="13">
        <v>1</v>
      </c>
      <c r="K32" s="13">
        <v>3</v>
      </c>
      <c r="L32" s="13">
        <v>1</v>
      </c>
      <c r="M32" s="13">
        <v>0</v>
      </c>
      <c r="N32" s="13">
        <v>2</v>
      </c>
      <c r="O32" s="13">
        <v>0</v>
      </c>
      <c r="P32" s="13">
        <v>1</v>
      </c>
      <c r="Q32" s="13">
        <v>0</v>
      </c>
      <c r="R32" s="13">
        <v>1</v>
      </c>
      <c r="S32" s="13">
        <v>0</v>
      </c>
      <c r="T32" s="13">
        <v>1</v>
      </c>
      <c r="U32" s="13">
        <v>3</v>
      </c>
      <c r="V32" s="13">
        <v>1</v>
      </c>
      <c r="W32" s="13">
        <v>1</v>
      </c>
    </row>
    <row r="33" spans="2:23" x14ac:dyDescent="0.25">
      <c r="B33" s="13">
        <v>31</v>
      </c>
      <c r="C33" s="13" t="s">
        <v>9</v>
      </c>
      <c r="D33" s="13" t="s">
        <v>358</v>
      </c>
      <c r="E33" s="13" t="s">
        <v>323</v>
      </c>
      <c r="F33" s="13">
        <v>0.1166</v>
      </c>
      <c r="G33" s="13">
        <v>3</v>
      </c>
      <c r="H33" s="13">
        <v>25.73</v>
      </c>
      <c r="I33" s="13">
        <v>1</v>
      </c>
      <c r="J33" s="13">
        <v>3</v>
      </c>
      <c r="K33" s="13">
        <v>0</v>
      </c>
      <c r="L33" s="13">
        <v>0</v>
      </c>
      <c r="M33" s="13">
        <v>0</v>
      </c>
      <c r="N33" s="13">
        <v>0</v>
      </c>
      <c r="O33" s="13">
        <v>3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1</v>
      </c>
      <c r="V33" s="13">
        <v>1</v>
      </c>
      <c r="W33" s="13">
        <v>1</v>
      </c>
    </row>
    <row r="34" spans="2:23" x14ac:dyDescent="0.25">
      <c r="B34" s="13">
        <v>32</v>
      </c>
      <c r="C34" s="13" t="s">
        <v>9</v>
      </c>
      <c r="D34" s="13" t="s">
        <v>358</v>
      </c>
      <c r="E34" s="13" t="s">
        <v>64</v>
      </c>
      <c r="F34" s="13">
        <v>0.45660000000000001</v>
      </c>
      <c r="G34" s="13">
        <v>2</v>
      </c>
      <c r="H34" s="13">
        <v>4.38</v>
      </c>
      <c r="I34" s="13">
        <v>1</v>
      </c>
      <c r="J34" s="13">
        <v>0</v>
      </c>
      <c r="K34" s="13">
        <v>0</v>
      </c>
      <c r="L34" s="13">
        <v>0</v>
      </c>
      <c r="M34" s="13">
        <v>2</v>
      </c>
      <c r="N34" s="13">
        <v>0</v>
      </c>
      <c r="O34" s="13">
        <v>0</v>
      </c>
      <c r="P34" s="13">
        <v>0</v>
      </c>
      <c r="Q34" s="13">
        <v>0</v>
      </c>
      <c r="R34" s="13">
        <v>2</v>
      </c>
      <c r="S34" s="13">
        <v>0</v>
      </c>
      <c r="T34" s="13">
        <v>0</v>
      </c>
      <c r="U34" s="13">
        <v>1</v>
      </c>
      <c r="V34" s="13">
        <v>1</v>
      </c>
      <c r="W34" s="13">
        <v>0</v>
      </c>
    </row>
    <row r="35" spans="2:23" x14ac:dyDescent="0.25">
      <c r="B35" s="13">
        <v>33</v>
      </c>
      <c r="C35" s="13" t="s">
        <v>9</v>
      </c>
      <c r="D35" s="13" t="s">
        <v>359</v>
      </c>
      <c r="E35" s="13" t="s">
        <v>323</v>
      </c>
      <c r="F35" s="13">
        <v>0.1328</v>
      </c>
      <c r="G35" s="13">
        <v>2</v>
      </c>
      <c r="H35" s="13">
        <v>15.06</v>
      </c>
      <c r="I35" s="13">
        <v>1</v>
      </c>
      <c r="J35" s="13">
        <v>1</v>
      </c>
      <c r="K35" s="13">
        <v>1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2</v>
      </c>
      <c r="R35" s="13">
        <v>0</v>
      </c>
      <c r="S35" s="13">
        <v>0</v>
      </c>
      <c r="T35" s="13">
        <v>0</v>
      </c>
      <c r="U35" s="13">
        <v>1</v>
      </c>
      <c r="V35" s="13">
        <v>1</v>
      </c>
      <c r="W35" s="13">
        <v>0</v>
      </c>
    </row>
    <row r="36" spans="2:23" x14ac:dyDescent="0.25">
      <c r="B36" s="13">
        <v>34</v>
      </c>
      <c r="C36" s="13" t="s">
        <v>9</v>
      </c>
      <c r="D36" s="13" t="s">
        <v>359</v>
      </c>
      <c r="E36" s="13" t="s">
        <v>64</v>
      </c>
      <c r="F36" s="13">
        <v>0.45279999999999998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</row>
    <row r="37" spans="2:23" x14ac:dyDescent="0.25">
      <c r="B37" s="13">
        <v>35</v>
      </c>
      <c r="C37" s="13" t="s">
        <v>9</v>
      </c>
      <c r="D37" s="13" t="s">
        <v>360</v>
      </c>
      <c r="E37" s="13" t="s">
        <v>323</v>
      </c>
      <c r="F37" s="13">
        <v>0.1142</v>
      </c>
      <c r="G37" s="13">
        <v>2</v>
      </c>
      <c r="H37" s="13">
        <v>17.510000000000002</v>
      </c>
      <c r="I37" s="13">
        <v>1</v>
      </c>
      <c r="J37" s="13">
        <v>1</v>
      </c>
      <c r="K37" s="13">
        <v>1</v>
      </c>
      <c r="L37" s="13">
        <v>0</v>
      </c>
      <c r="M37" s="13">
        <v>0</v>
      </c>
      <c r="N37" s="13">
        <v>0</v>
      </c>
      <c r="O37" s="13">
        <v>0</v>
      </c>
      <c r="P37" s="13">
        <v>1</v>
      </c>
      <c r="Q37" s="13">
        <v>0</v>
      </c>
      <c r="R37" s="13">
        <v>1</v>
      </c>
      <c r="S37" s="13">
        <v>0</v>
      </c>
      <c r="T37" s="13">
        <v>0</v>
      </c>
      <c r="U37" s="13">
        <v>0</v>
      </c>
      <c r="V37" s="13">
        <v>2</v>
      </c>
      <c r="W37" s="13">
        <v>0</v>
      </c>
    </row>
    <row r="38" spans="2:23" x14ac:dyDescent="0.25">
      <c r="B38" s="13">
        <v>36</v>
      </c>
      <c r="C38" s="13" t="s">
        <v>9</v>
      </c>
      <c r="D38" s="13" t="s">
        <v>360</v>
      </c>
      <c r="E38" s="13" t="s">
        <v>64</v>
      </c>
      <c r="F38" s="13">
        <v>0.49419999999999997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2:23" x14ac:dyDescent="0.25">
      <c r="B39" s="13">
        <v>37</v>
      </c>
      <c r="C39" s="13" t="s">
        <v>9</v>
      </c>
      <c r="D39" s="13" t="s">
        <v>361</v>
      </c>
      <c r="E39" s="13" t="s">
        <v>323</v>
      </c>
      <c r="F39" s="13">
        <v>0.17130000000000001</v>
      </c>
      <c r="G39" s="13">
        <v>3</v>
      </c>
      <c r="H39" s="13">
        <v>17.510000000000002</v>
      </c>
      <c r="I39" s="13">
        <v>1</v>
      </c>
      <c r="J39" s="13">
        <v>2</v>
      </c>
      <c r="K39" s="13">
        <v>1</v>
      </c>
      <c r="L39" s="13">
        <v>0</v>
      </c>
      <c r="M39" s="13">
        <v>0</v>
      </c>
      <c r="N39" s="13">
        <v>0</v>
      </c>
      <c r="O39" s="13">
        <v>0</v>
      </c>
      <c r="P39" s="13">
        <v>1</v>
      </c>
      <c r="Q39" s="13">
        <v>0</v>
      </c>
      <c r="R39" s="13">
        <v>2</v>
      </c>
      <c r="S39" s="13">
        <v>0</v>
      </c>
      <c r="T39" s="13">
        <v>0</v>
      </c>
      <c r="U39" s="13">
        <v>2</v>
      </c>
      <c r="V39" s="13">
        <v>1</v>
      </c>
      <c r="W39" s="13">
        <v>0</v>
      </c>
    </row>
    <row r="40" spans="2:23" x14ac:dyDescent="0.25">
      <c r="B40" s="13">
        <v>38</v>
      </c>
      <c r="C40" s="13" t="s">
        <v>9</v>
      </c>
      <c r="D40" s="13" t="s">
        <v>361</v>
      </c>
      <c r="E40" s="13" t="s">
        <v>64</v>
      </c>
      <c r="F40" s="13">
        <v>0.52129999999999999</v>
      </c>
      <c r="G40" s="13">
        <v>1</v>
      </c>
      <c r="H40" s="13">
        <v>1.92</v>
      </c>
      <c r="I40" s="13">
        <v>1</v>
      </c>
      <c r="J40" s="13">
        <v>1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1</v>
      </c>
      <c r="T40" s="13">
        <v>0</v>
      </c>
      <c r="U40" s="13">
        <v>0</v>
      </c>
      <c r="V40" s="13">
        <v>1</v>
      </c>
      <c r="W40" s="13">
        <v>0</v>
      </c>
    </row>
    <row r="41" spans="2:23" x14ac:dyDescent="0.25">
      <c r="B41" s="13">
        <v>39</v>
      </c>
      <c r="C41" s="13" t="s">
        <v>9</v>
      </c>
      <c r="D41" s="13" t="s">
        <v>362</v>
      </c>
      <c r="E41" s="13" t="s">
        <v>323</v>
      </c>
      <c r="F41" s="13">
        <v>0.29120000000000001</v>
      </c>
      <c r="G41" s="13">
        <v>3</v>
      </c>
      <c r="H41" s="13">
        <v>10.3</v>
      </c>
      <c r="I41" s="13">
        <v>1</v>
      </c>
      <c r="J41" s="13">
        <v>0</v>
      </c>
      <c r="K41" s="13">
        <v>1</v>
      </c>
      <c r="L41" s="13">
        <v>2</v>
      </c>
      <c r="M41" s="13">
        <v>0</v>
      </c>
      <c r="N41" s="13">
        <v>1</v>
      </c>
      <c r="O41" s="13">
        <v>0</v>
      </c>
      <c r="P41" s="13">
        <v>1</v>
      </c>
      <c r="Q41" s="13">
        <v>1</v>
      </c>
      <c r="R41" s="13">
        <v>0</v>
      </c>
      <c r="S41" s="13">
        <v>0</v>
      </c>
      <c r="T41" s="13">
        <v>0</v>
      </c>
      <c r="U41" s="13">
        <v>1</v>
      </c>
      <c r="V41" s="13">
        <v>2</v>
      </c>
      <c r="W41" s="13">
        <v>0</v>
      </c>
    </row>
    <row r="42" spans="2:23" x14ac:dyDescent="0.25">
      <c r="B42" s="13">
        <v>40</v>
      </c>
      <c r="C42" s="13" t="s">
        <v>9</v>
      </c>
      <c r="D42" s="13" t="s">
        <v>362</v>
      </c>
      <c r="E42" s="13" t="s">
        <v>64</v>
      </c>
      <c r="F42" s="13">
        <v>0.62849999999999995</v>
      </c>
      <c r="G42" s="13">
        <v>2</v>
      </c>
      <c r="H42" s="13">
        <v>3.18</v>
      </c>
      <c r="I42" s="13">
        <v>1</v>
      </c>
      <c r="J42" s="13">
        <v>0</v>
      </c>
      <c r="K42" s="13">
        <v>0</v>
      </c>
      <c r="L42" s="13">
        <v>2</v>
      </c>
      <c r="M42" s="13">
        <v>0</v>
      </c>
      <c r="N42" s="13">
        <v>0</v>
      </c>
      <c r="O42" s="13">
        <v>0</v>
      </c>
      <c r="P42" s="13">
        <v>0</v>
      </c>
      <c r="Q42" s="13">
        <v>1</v>
      </c>
      <c r="R42" s="13">
        <v>0</v>
      </c>
      <c r="S42" s="13">
        <v>1</v>
      </c>
      <c r="T42" s="13">
        <v>0</v>
      </c>
      <c r="U42" s="13">
        <v>1</v>
      </c>
      <c r="V42" s="13">
        <v>1</v>
      </c>
      <c r="W42" s="13">
        <v>0</v>
      </c>
    </row>
    <row r="43" spans="2:23" x14ac:dyDescent="0.25">
      <c r="B43" s="13">
        <v>41</v>
      </c>
      <c r="C43" s="13" t="s">
        <v>9</v>
      </c>
      <c r="D43" s="13" t="s">
        <v>363</v>
      </c>
      <c r="E43" s="13" t="s">
        <v>323</v>
      </c>
      <c r="F43" s="13">
        <v>0.14369999999999999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</row>
    <row r="44" spans="2:23" x14ac:dyDescent="0.25">
      <c r="B44" s="13">
        <v>42</v>
      </c>
      <c r="C44" s="13" t="s">
        <v>9</v>
      </c>
      <c r="D44" s="13" t="s">
        <v>363</v>
      </c>
      <c r="E44" s="13" t="s">
        <v>64</v>
      </c>
      <c r="F44" s="13">
        <v>0.48320000000000002</v>
      </c>
      <c r="G44" s="13">
        <v>1</v>
      </c>
      <c r="H44" s="13">
        <v>2.0699999999999998</v>
      </c>
      <c r="I44" s="13">
        <v>1</v>
      </c>
      <c r="J44" s="13">
        <v>0</v>
      </c>
      <c r="K44" s="13">
        <v>1</v>
      </c>
      <c r="L44" s="13">
        <v>0</v>
      </c>
      <c r="M44" s="13">
        <v>0</v>
      </c>
      <c r="N44" s="13">
        <v>0</v>
      </c>
      <c r="O44" s="13">
        <v>1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1</v>
      </c>
      <c r="V44" s="13">
        <v>0</v>
      </c>
      <c r="W44" s="13">
        <v>0</v>
      </c>
    </row>
    <row r="45" spans="2:23" x14ac:dyDescent="0.25">
      <c r="B45" s="13">
        <v>43</v>
      </c>
      <c r="C45" s="13" t="s">
        <v>9</v>
      </c>
      <c r="D45" s="13" t="s">
        <v>364</v>
      </c>
      <c r="E45" s="13" t="s">
        <v>323</v>
      </c>
      <c r="F45" s="13">
        <v>0.2402</v>
      </c>
      <c r="G45" s="13">
        <v>1</v>
      </c>
      <c r="H45" s="13">
        <v>4.16</v>
      </c>
      <c r="I45" s="13">
        <v>1</v>
      </c>
      <c r="J45" s="13">
        <v>0</v>
      </c>
      <c r="K45" s="13">
        <v>1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1</v>
      </c>
      <c r="S45" s="13">
        <v>0</v>
      </c>
      <c r="T45" s="13">
        <v>0</v>
      </c>
      <c r="U45" s="13">
        <v>1</v>
      </c>
      <c r="V45" s="13">
        <v>0</v>
      </c>
      <c r="W45" s="13">
        <v>0</v>
      </c>
    </row>
    <row r="46" spans="2:23" x14ac:dyDescent="0.25">
      <c r="B46" s="13">
        <v>44</v>
      </c>
      <c r="C46" s="13" t="s">
        <v>9</v>
      </c>
      <c r="D46" s="13" t="s">
        <v>364</v>
      </c>
      <c r="E46" s="13" t="s">
        <v>64</v>
      </c>
      <c r="F46" s="13">
        <v>0.58520000000000005</v>
      </c>
      <c r="G46" s="13">
        <v>3</v>
      </c>
      <c r="H46" s="13">
        <v>5.13</v>
      </c>
      <c r="I46" s="13">
        <v>1</v>
      </c>
      <c r="J46" s="13">
        <v>2</v>
      </c>
      <c r="K46" s="13">
        <v>0</v>
      </c>
      <c r="L46" s="13">
        <v>0</v>
      </c>
      <c r="M46" s="13">
        <v>1</v>
      </c>
      <c r="N46" s="13">
        <v>0</v>
      </c>
      <c r="O46" s="13">
        <v>1</v>
      </c>
      <c r="P46" s="13">
        <v>0</v>
      </c>
      <c r="Q46" s="13">
        <v>1</v>
      </c>
      <c r="R46" s="13">
        <v>1</v>
      </c>
      <c r="S46" s="13">
        <v>0</v>
      </c>
      <c r="T46" s="13">
        <v>0</v>
      </c>
      <c r="U46" s="13">
        <v>1</v>
      </c>
      <c r="V46" s="13">
        <v>1</v>
      </c>
      <c r="W46" s="13">
        <v>1</v>
      </c>
    </row>
    <row r="47" spans="2:23" x14ac:dyDescent="0.25">
      <c r="B47" s="13">
        <v>45</v>
      </c>
      <c r="C47" s="13" t="s">
        <v>9</v>
      </c>
      <c r="D47" s="13" t="s">
        <v>365</v>
      </c>
      <c r="E47" s="13" t="s">
        <v>323</v>
      </c>
      <c r="F47" s="13">
        <v>0.106</v>
      </c>
      <c r="G47" s="13">
        <v>1</v>
      </c>
      <c r="H47" s="13">
        <v>9.43</v>
      </c>
      <c r="I47" s="13">
        <v>1</v>
      </c>
      <c r="J47" s="13">
        <v>0</v>
      </c>
      <c r="K47" s="13">
        <v>1</v>
      </c>
      <c r="L47" s="13">
        <v>0</v>
      </c>
      <c r="M47" s="13">
        <v>0</v>
      </c>
      <c r="N47" s="13">
        <v>0</v>
      </c>
      <c r="O47" s="13">
        <v>0</v>
      </c>
      <c r="P47" s="13">
        <v>1</v>
      </c>
      <c r="Q47" s="13">
        <v>0</v>
      </c>
      <c r="R47" s="13">
        <v>0</v>
      </c>
      <c r="S47" s="13">
        <v>0</v>
      </c>
      <c r="T47" s="13">
        <v>0</v>
      </c>
      <c r="U47" s="13">
        <v>1</v>
      </c>
      <c r="V47" s="13">
        <v>0</v>
      </c>
      <c r="W47" s="13">
        <v>0</v>
      </c>
    </row>
    <row r="48" spans="2:23" x14ac:dyDescent="0.25">
      <c r="B48" s="13">
        <v>46</v>
      </c>
      <c r="C48" s="13" t="s">
        <v>9</v>
      </c>
      <c r="D48" s="13" t="s">
        <v>365</v>
      </c>
      <c r="E48" s="13" t="s">
        <v>64</v>
      </c>
      <c r="F48" s="13">
        <v>0.46800000000000003</v>
      </c>
      <c r="G48" s="13">
        <v>1</v>
      </c>
      <c r="H48" s="13">
        <v>2.14</v>
      </c>
      <c r="I48" s="13">
        <v>1</v>
      </c>
      <c r="J48" s="13">
        <v>0</v>
      </c>
      <c r="K48" s="13">
        <v>1</v>
      </c>
      <c r="L48" s="13">
        <v>0</v>
      </c>
      <c r="M48" s="13">
        <v>0</v>
      </c>
      <c r="N48" s="13">
        <v>1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1</v>
      </c>
      <c r="V48" s="13">
        <v>0</v>
      </c>
      <c r="W48" s="13">
        <v>0</v>
      </c>
    </row>
    <row r="49" spans="2:23" x14ac:dyDescent="0.25">
      <c r="B49" s="13">
        <v>47</v>
      </c>
      <c r="C49" s="13" t="s">
        <v>9</v>
      </c>
      <c r="D49" s="13" t="s">
        <v>366</v>
      </c>
      <c r="E49" s="13" t="s">
        <v>323</v>
      </c>
      <c r="F49" s="13">
        <v>0.2356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</row>
    <row r="50" spans="2:23" x14ac:dyDescent="0.25">
      <c r="B50" s="13">
        <v>48</v>
      </c>
      <c r="C50" s="13" t="s">
        <v>9</v>
      </c>
      <c r="D50" s="13" t="s">
        <v>366</v>
      </c>
      <c r="E50" s="13" t="s">
        <v>64</v>
      </c>
      <c r="F50" s="13">
        <v>0.56169999999999998</v>
      </c>
      <c r="G50" s="13">
        <v>1</v>
      </c>
      <c r="H50" s="13">
        <v>1.78</v>
      </c>
      <c r="I50" s="13">
        <v>1</v>
      </c>
      <c r="J50" s="13">
        <v>0</v>
      </c>
      <c r="K50" s="13">
        <v>0</v>
      </c>
      <c r="L50" s="13">
        <v>1</v>
      </c>
      <c r="M50" s="13">
        <v>0</v>
      </c>
      <c r="N50" s="13">
        <v>0</v>
      </c>
      <c r="O50" s="13">
        <v>1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1</v>
      </c>
      <c r="W50" s="13">
        <v>0</v>
      </c>
    </row>
    <row r="51" spans="2:23" x14ac:dyDescent="0.25">
      <c r="B51" s="13">
        <v>49</v>
      </c>
      <c r="C51" s="13" t="s">
        <v>9</v>
      </c>
      <c r="D51" s="13" t="s">
        <v>367</v>
      </c>
      <c r="E51" s="13" t="s">
        <v>323</v>
      </c>
      <c r="F51" s="13">
        <v>0.13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2:23" x14ac:dyDescent="0.25">
      <c r="B52" s="13">
        <v>50</v>
      </c>
      <c r="C52" s="13" t="s">
        <v>9</v>
      </c>
      <c r="D52" s="13" t="s">
        <v>367</v>
      </c>
      <c r="E52" s="13" t="s">
        <v>64</v>
      </c>
      <c r="F52" s="13">
        <v>0.42120000000000002</v>
      </c>
      <c r="G52" s="13">
        <v>1</v>
      </c>
      <c r="H52" s="13">
        <v>2.37</v>
      </c>
      <c r="I52" s="13">
        <v>1</v>
      </c>
      <c r="J52" s="13">
        <v>0</v>
      </c>
      <c r="K52" s="13">
        <v>1</v>
      </c>
      <c r="L52" s="13">
        <v>0</v>
      </c>
      <c r="M52" s="13">
        <v>0</v>
      </c>
      <c r="N52" s="13">
        <v>0</v>
      </c>
      <c r="O52" s="13">
        <v>1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1</v>
      </c>
      <c r="V52" s="13">
        <v>0</v>
      </c>
      <c r="W52" s="13">
        <v>0</v>
      </c>
    </row>
    <row r="53" spans="2:23" x14ac:dyDescent="0.25">
      <c r="B53" s="13">
        <v>51</v>
      </c>
      <c r="C53" s="13" t="s">
        <v>9</v>
      </c>
      <c r="D53" s="13" t="s">
        <v>368</v>
      </c>
      <c r="E53" s="13" t="s">
        <v>323</v>
      </c>
      <c r="F53" s="13">
        <v>0.23469999999999999</v>
      </c>
      <c r="G53" s="13">
        <v>2</v>
      </c>
      <c r="H53" s="13">
        <v>8.52</v>
      </c>
      <c r="I53" s="13">
        <v>1</v>
      </c>
      <c r="J53" s="13">
        <v>0</v>
      </c>
      <c r="K53" s="13">
        <v>2</v>
      </c>
      <c r="L53" s="13">
        <v>0</v>
      </c>
      <c r="M53" s="13">
        <v>0</v>
      </c>
      <c r="N53" s="13">
        <v>0</v>
      </c>
      <c r="O53" s="13">
        <v>0</v>
      </c>
      <c r="P53" s="13">
        <v>2</v>
      </c>
      <c r="Q53" s="13">
        <v>0</v>
      </c>
      <c r="R53" s="13">
        <v>0</v>
      </c>
      <c r="S53" s="13">
        <v>0</v>
      </c>
      <c r="T53" s="13">
        <v>0</v>
      </c>
      <c r="U53" s="13">
        <v>2</v>
      </c>
      <c r="V53" s="13">
        <v>0</v>
      </c>
      <c r="W53" s="13">
        <v>0</v>
      </c>
    </row>
    <row r="54" spans="2:23" x14ac:dyDescent="0.25">
      <c r="B54" s="13">
        <v>52</v>
      </c>
      <c r="C54" s="13" t="s">
        <v>9</v>
      </c>
      <c r="D54" s="13" t="s">
        <v>368</v>
      </c>
      <c r="E54" s="13" t="s">
        <v>64</v>
      </c>
      <c r="F54" s="13">
        <v>0.56410000000000005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</row>
    <row r="55" spans="2:23" x14ac:dyDescent="0.25">
      <c r="B55" s="13">
        <v>53</v>
      </c>
      <c r="C55" s="13" t="s">
        <v>9</v>
      </c>
      <c r="D55" s="13" t="s">
        <v>369</v>
      </c>
      <c r="E55" s="13" t="s">
        <v>323</v>
      </c>
      <c r="F55" s="13">
        <v>0.2964</v>
      </c>
      <c r="G55" s="13">
        <v>1</v>
      </c>
      <c r="H55" s="13">
        <v>3.37</v>
      </c>
      <c r="I55" s="13">
        <v>1</v>
      </c>
      <c r="J55" s="13">
        <v>0</v>
      </c>
      <c r="K55" s="13">
        <v>1</v>
      </c>
      <c r="L55" s="13">
        <v>0</v>
      </c>
      <c r="M55" s="13">
        <v>0</v>
      </c>
      <c r="N55" s="13">
        <v>1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</v>
      </c>
      <c r="V55" s="13">
        <v>0</v>
      </c>
      <c r="W55" s="13">
        <v>0</v>
      </c>
    </row>
    <row r="56" spans="2:23" x14ac:dyDescent="0.25">
      <c r="B56" s="13">
        <v>54</v>
      </c>
      <c r="C56" s="13" t="s">
        <v>9</v>
      </c>
      <c r="D56" s="13" t="s">
        <v>369</v>
      </c>
      <c r="E56" s="13" t="s">
        <v>64</v>
      </c>
      <c r="F56" s="13">
        <v>0.55679999999999996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</row>
    <row r="57" spans="2:23" x14ac:dyDescent="0.25">
      <c r="B57" s="13">
        <v>55</v>
      </c>
      <c r="C57" s="13" t="s">
        <v>10</v>
      </c>
      <c r="D57" s="13" t="s">
        <v>333</v>
      </c>
      <c r="E57" s="13" t="s">
        <v>323</v>
      </c>
      <c r="F57" s="13">
        <v>0.1394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</row>
    <row r="58" spans="2:23" x14ac:dyDescent="0.25">
      <c r="B58" s="13">
        <v>56</v>
      </c>
      <c r="C58" s="13" t="s">
        <v>10</v>
      </c>
      <c r="D58" s="13" t="s">
        <v>333</v>
      </c>
      <c r="E58" s="13" t="s">
        <v>64</v>
      </c>
      <c r="F58" s="13">
        <v>0.43459999999999999</v>
      </c>
      <c r="G58" s="13">
        <v>12</v>
      </c>
      <c r="H58" s="13">
        <v>27.61</v>
      </c>
      <c r="I58" s="13">
        <v>1</v>
      </c>
      <c r="J58" s="13">
        <v>6</v>
      </c>
      <c r="K58" s="13">
        <v>6</v>
      </c>
      <c r="L58" s="13">
        <v>0</v>
      </c>
      <c r="M58" s="13">
        <v>0</v>
      </c>
      <c r="N58" s="13">
        <v>1</v>
      </c>
      <c r="O58" s="13">
        <v>4</v>
      </c>
      <c r="P58" s="13">
        <v>1</v>
      </c>
      <c r="Q58" s="13">
        <v>6</v>
      </c>
      <c r="R58" s="13">
        <v>0</v>
      </c>
      <c r="S58" s="13">
        <v>0</v>
      </c>
      <c r="T58" s="13">
        <v>0</v>
      </c>
      <c r="U58" s="13">
        <v>8</v>
      </c>
      <c r="V58" s="13">
        <v>3</v>
      </c>
      <c r="W58" s="13">
        <v>1</v>
      </c>
    </row>
    <row r="59" spans="2:23" x14ac:dyDescent="0.25">
      <c r="B59" s="13">
        <v>57</v>
      </c>
      <c r="C59" s="13" t="s">
        <v>10</v>
      </c>
      <c r="D59" s="13" t="s">
        <v>334</v>
      </c>
      <c r="E59" s="13" t="s">
        <v>323</v>
      </c>
      <c r="F59" s="13">
        <v>0.29449999999999998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</row>
    <row r="60" spans="2:23" x14ac:dyDescent="0.25">
      <c r="B60" s="13">
        <v>58</v>
      </c>
      <c r="C60" s="13" t="s">
        <v>10</v>
      </c>
      <c r="D60" s="13" t="s">
        <v>334</v>
      </c>
      <c r="E60" s="13" t="s">
        <v>64</v>
      </c>
      <c r="F60" s="13">
        <v>0.75090000000000001</v>
      </c>
      <c r="G60" s="13">
        <v>4</v>
      </c>
      <c r="H60" s="13">
        <v>5.33</v>
      </c>
      <c r="I60" s="13">
        <v>1</v>
      </c>
      <c r="J60" s="13">
        <v>3</v>
      </c>
      <c r="K60" s="13">
        <v>1</v>
      </c>
      <c r="L60" s="13">
        <v>0</v>
      </c>
      <c r="M60" s="13">
        <v>0</v>
      </c>
      <c r="N60" s="13">
        <v>0</v>
      </c>
      <c r="O60" s="13">
        <v>2</v>
      </c>
      <c r="P60" s="13">
        <v>1</v>
      </c>
      <c r="Q60" s="13">
        <v>1</v>
      </c>
      <c r="R60" s="13">
        <v>0</v>
      </c>
      <c r="S60" s="13">
        <v>0</v>
      </c>
      <c r="T60" s="13">
        <v>0</v>
      </c>
      <c r="U60" s="13">
        <v>3</v>
      </c>
      <c r="V60" s="13">
        <v>1</v>
      </c>
      <c r="W60" s="13">
        <v>0</v>
      </c>
    </row>
    <row r="61" spans="2:23" x14ac:dyDescent="0.25">
      <c r="B61" s="13">
        <v>59</v>
      </c>
      <c r="C61" s="13" t="s">
        <v>10</v>
      </c>
      <c r="D61" s="13" t="s">
        <v>335</v>
      </c>
      <c r="E61" s="13" t="s">
        <v>323</v>
      </c>
      <c r="F61" s="13">
        <v>0.18909999999999999</v>
      </c>
      <c r="G61" s="13">
        <v>3</v>
      </c>
      <c r="H61" s="13">
        <v>15.86</v>
      </c>
      <c r="I61" s="13">
        <v>1</v>
      </c>
      <c r="J61" s="13">
        <v>2</v>
      </c>
      <c r="K61" s="13">
        <v>1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1</v>
      </c>
      <c r="R61" s="49">
        <v>2</v>
      </c>
      <c r="S61" s="13">
        <v>0</v>
      </c>
      <c r="T61" s="13">
        <v>0</v>
      </c>
      <c r="U61" s="13">
        <v>1</v>
      </c>
      <c r="V61" s="13">
        <v>2</v>
      </c>
      <c r="W61" s="13">
        <v>0</v>
      </c>
    </row>
    <row r="62" spans="2:23" x14ac:dyDescent="0.25">
      <c r="B62" s="13">
        <v>60</v>
      </c>
      <c r="C62" s="13" t="s">
        <v>10</v>
      </c>
      <c r="D62" s="13" t="s">
        <v>335</v>
      </c>
      <c r="E62" s="13" t="s">
        <v>64</v>
      </c>
      <c r="F62" s="13">
        <v>0.29389999999999999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</row>
    <row r="63" spans="2:23" x14ac:dyDescent="0.25">
      <c r="B63" s="13">
        <v>61</v>
      </c>
      <c r="C63" s="13" t="s">
        <v>10</v>
      </c>
      <c r="D63" s="13" t="s">
        <v>336</v>
      </c>
      <c r="E63" s="13" t="s">
        <v>323</v>
      </c>
      <c r="F63" s="13">
        <v>0.24579999999999999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</row>
    <row r="64" spans="2:23" x14ac:dyDescent="0.25">
      <c r="B64" s="13">
        <v>62</v>
      </c>
      <c r="C64" s="13" t="s">
        <v>10</v>
      </c>
      <c r="D64" s="13" t="s">
        <v>336</v>
      </c>
      <c r="E64" s="13" t="s">
        <v>64</v>
      </c>
      <c r="F64" s="13">
        <v>0.3775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2:23" x14ac:dyDescent="0.25">
      <c r="B65" s="13">
        <v>63</v>
      </c>
      <c r="C65" s="13" t="s">
        <v>10</v>
      </c>
      <c r="D65" s="13" t="s">
        <v>337</v>
      </c>
      <c r="E65" s="13" t="s">
        <v>323</v>
      </c>
      <c r="F65" s="13">
        <v>0.35799999999999998</v>
      </c>
      <c r="G65" s="13">
        <v>2</v>
      </c>
      <c r="H65" s="13">
        <v>5.59</v>
      </c>
      <c r="I65" s="13">
        <v>1</v>
      </c>
      <c r="J65" s="13">
        <v>0</v>
      </c>
      <c r="K65" s="13">
        <v>0</v>
      </c>
      <c r="L65" s="13">
        <v>2</v>
      </c>
      <c r="M65" s="13">
        <v>0</v>
      </c>
      <c r="N65" s="13">
        <v>0</v>
      </c>
      <c r="O65" s="13">
        <v>0</v>
      </c>
      <c r="P65" s="13">
        <v>2</v>
      </c>
      <c r="Q65" s="13">
        <v>0</v>
      </c>
      <c r="R65" s="13">
        <v>0</v>
      </c>
      <c r="S65" s="13">
        <v>0</v>
      </c>
      <c r="T65" s="13">
        <v>0</v>
      </c>
      <c r="U65" s="13">
        <v>1</v>
      </c>
      <c r="V65" s="13">
        <v>1</v>
      </c>
      <c r="W65" s="13">
        <v>0</v>
      </c>
    </row>
    <row r="66" spans="2:23" x14ac:dyDescent="0.25">
      <c r="B66" s="13">
        <v>64</v>
      </c>
      <c r="C66" s="13" t="s">
        <v>10</v>
      </c>
      <c r="D66" s="13" t="s">
        <v>337</v>
      </c>
      <c r="E66" s="13" t="s">
        <v>64</v>
      </c>
      <c r="F66" s="13">
        <v>0.88200000000000001</v>
      </c>
      <c r="G66" s="13">
        <v>2</v>
      </c>
      <c r="H66" s="13">
        <v>2.27</v>
      </c>
      <c r="I66" s="13">
        <v>1</v>
      </c>
      <c r="J66" s="13">
        <v>0</v>
      </c>
      <c r="K66" s="13">
        <v>2</v>
      </c>
      <c r="L66" s="13">
        <v>0</v>
      </c>
      <c r="M66" s="13">
        <v>0</v>
      </c>
      <c r="N66" s="13">
        <v>0</v>
      </c>
      <c r="O66" s="13">
        <v>0</v>
      </c>
      <c r="P66" s="13">
        <v>1</v>
      </c>
      <c r="Q66" s="13">
        <v>1</v>
      </c>
      <c r="R66" s="13">
        <v>0</v>
      </c>
      <c r="S66" s="13">
        <v>0</v>
      </c>
      <c r="T66" s="13">
        <v>0</v>
      </c>
      <c r="U66" s="13">
        <v>2</v>
      </c>
      <c r="V66" s="13">
        <v>0</v>
      </c>
      <c r="W66" s="13">
        <v>0</v>
      </c>
    </row>
    <row r="67" spans="2:23" x14ac:dyDescent="0.25">
      <c r="B67" s="13">
        <v>65</v>
      </c>
      <c r="C67" s="13" t="s">
        <v>10</v>
      </c>
      <c r="D67" s="13" t="s">
        <v>338</v>
      </c>
      <c r="E67" s="13" t="s">
        <v>323</v>
      </c>
      <c r="F67" s="13">
        <v>0.25480000000000003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2:23" x14ac:dyDescent="0.25">
      <c r="B68" s="13">
        <v>66</v>
      </c>
      <c r="C68" s="13" t="s">
        <v>10</v>
      </c>
      <c r="D68" s="13" t="s">
        <v>338</v>
      </c>
      <c r="E68" s="13" t="s">
        <v>64</v>
      </c>
      <c r="F68" s="13">
        <v>0.42459999999999998</v>
      </c>
      <c r="G68" s="13">
        <v>1</v>
      </c>
      <c r="H68" s="13">
        <v>2.36</v>
      </c>
      <c r="I68" s="13">
        <v>1</v>
      </c>
      <c r="J68" s="13">
        <v>0</v>
      </c>
      <c r="K68" s="13">
        <v>1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1</v>
      </c>
      <c r="R68" s="13">
        <v>0</v>
      </c>
      <c r="S68" s="13">
        <v>0</v>
      </c>
      <c r="T68" s="13">
        <v>0</v>
      </c>
      <c r="U68" s="13">
        <v>1</v>
      </c>
      <c r="V68" s="13">
        <v>0</v>
      </c>
      <c r="W68" s="13">
        <v>0</v>
      </c>
    </row>
    <row r="69" spans="2:23" x14ac:dyDescent="0.25">
      <c r="B69" s="13">
        <v>67</v>
      </c>
      <c r="C69" s="13" t="s">
        <v>10</v>
      </c>
      <c r="D69" s="13" t="s">
        <v>339</v>
      </c>
      <c r="E69" s="13" t="s">
        <v>323</v>
      </c>
      <c r="F69" s="13">
        <v>0.29110000000000003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2:23" x14ac:dyDescent="0.25">
      <c r="B70" s="13">
        <v>68</v>
      </c>
      <c r="C70" s="13" t="s">
        <v>10</v>
      </c>
      <c r="D70" s="13" t="s">
        <v>339</v>
      </c>
      <c r="E70" s="13" t="s">
        <v>64</v>
      </c>
      <c r="F70" s="13">
        <v>0.42120000000000002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</row>
    <row r="71" spans="2:23" x14ac:dyDescent="0.25">
      <c r="B71" s="13">
        <v>69</v>
      </c>
      <c r="C71" s="13" t="s">
        <v>10</v>
      </c>
      <c r="D71" s="13" t="s">
        <v>340</v>
      </c>
      <c r="E71" s="13" t="s">
        <v>323</v>
      </c>
      <c r="F71" s="13">
        <v>0.31040000000000001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</row>
    <row r="72" spans="2:23" x14ac:dyDescent="0.25">
      <c r="B72" s="13">
        <v>70</v>
      </c>
      <c r="C72" s="13" t="s">
        <v>10</v>
      </c>
      <c r="D72" s="13" t="s">
        <v>340</v>
      </c>
      <c r="E72" s="13" t="s">
        <v>64</v>
      </c>
      <c r="F72" s="13">
        <v>0.54020000000000001</v>
      </c>
      <c r="G72" s="13">
        <v>5</v>
      </c>
      <c r="H72" s="13">
        <v>9.26</v>
      </c>
      <c r="I72" s="13">
        <v>1</v>
      </c>
      <c r="J72" s="13">
        <v>2</v>
      </c>
      <c r="K72" s="13">
        <v>3</v>
      </c>
      <c r="L72" s="13">
        <v>0</v>
      </c>
      <c r="M72" s="13">
        <v>0</v>
      </c>
      <c r="N72" s="13">
        <v>0</v>
      </c>
      <c r="O72" s="13">
        <v>0</v>
      </c>
      <c r="P72" s="13">
        <v>2</v>
      </c>
      <c r="Q72" s="13">
        <v>2</v>
      </c>
      <c r="R72" s="49">
        <v>1</v>
      </c>
      <c r="S72" s="13">
        <v>0</v>
      </c>
      <c r="T72" s="13">
        <v>0</v>
      </c>
      <c r="U72" s="13">
        <v>3</v>
      </c>
      <c r="V72" s="13">
        <v>1</v>
      </c>
      <c r="W72" s="13">
        <v>1</v>
      </c>
    </row>
    <row r="73" spans="2:23" x14ac:dyDescent="0.25">
      <c r="B73" s="13">
        <v>71</v>
      </c>
      <c r="C73" s="13" t="s">
        <v>10</v>
      </c>
      <c r="D73" s="13" t="s">
        <v>341</v>
      </c>
      <c r="E73" s="13" t="s">
        <v>323</v>
      </c>
      <c r="F73" s="13">
        <v>0.25530000000000003</v>
      </c>
      <c r="G73" s="13">
        <v>3</v>
      </c>
      <c r="H73" s="13">
        <v>11.75</v>
      </c>
      <c r="I73" s="13">
        <v>1</v>
      </c>
      <c r="J73" s="13">
        <v>3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2</v>
      </c>
      <c r="R73" s="49">
        <v>1</v>
      </c>
      <c r="S73" s="13">
        <v>0</v>
      </c>
      <c r="T73" s="13">
        <v>0</v>
      </c>
      <c r="U73" s="13">
        <v>1</v>
      </c>
      <c r="V73" s="13">
        <v>2</v>
      </c>
      <c r="W73" s="13">
        <v>0</v>
      </c>
    </row>
    <row r="74" spans="2:23" x14ac:dyDescent="0.25">
      <c r="B74" s="13">
        <v>72</v>
      </c>
      <c r="C74" s="13" t="s">
        <v>10</v>
      </c>
      <c r="D74" s="13" t="s">
        <v>341</v>
      </c>
      <c r="E74" s="13" t="s">
        <v>64</v>
      </c>
      <c r="F74" s="13">
        <v>0.3518</v>
      </c>
      <c r="G74" s="13">
        <v>6</v>
      </c>
      <c r="H74" s="13">
        <v>17.059999999999999</v>
      </c>
      <c r="I74" s="13">
        <v>1</v>
      </c>
      <c r="J74" s="13">
        <v>2</v>
      </c>
      <c r="K74" s="13">
        <v>3</v>
      </c>
      <c r="L74" s="13">
        <v>1</v>
      </c>
      <c r="M74" s="13">
        <v>0</v>
      </c>
      <c r="N74" s="13">
        <v>1</v>
      </c>
      <c r="O74" s="13">
        <v>2</v>
      </c>
      <c r="P74" s="13">
        <v>1</v>
      </c>
      <c r="Q74" s="13">
        <v>1</v>
      </c>
      <c r="R74" s="49">
        <v>1</v>
      </c>
      <c r="S74" s="13">
        <v>0</v>
      </c>
      <c r="T74" s="13">
        <v>0</v>
      </c>
      <c r="U74" s="13">
        <v>4</v>
      </c>
      <c r="V74" s="13">
        <v>1</v>
      </c>
      <c r="W74" s="13">
        <v>1</v>
      </c>
    </row>
    <row r="75" spans="2:23" x14ac:dyDescent="0.25">
      <c r="B75" s="13">
        <v>73</v>
      </c>
      <c r="C75" s="13" t="s">
        <v>10</v>
      </c>
      <c r="D75" s="13" t="s">
        <v>342</v>
      </c>
      <c r="E75" s="13" t="s">
        <v>323</v>
      </c>
      <c r="F75" s="13">
        <v>0.2321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2:23" x14ac:dyDescent="0.25">
      <c r="B76" s="13">
        <v>74</v>
      </c>
      <c r="C76" s="13" t="s">
        <v>10</v>
      </c>
      <c r="D76" s="13" t="s">
        <v>342</v>
      </c>
      <c r="E76" s="13" t="s">
        <v>64</v>
      </c>
      <c r="F76" s="13">
        <v>0.37009999999999998</v>
      </c>
      <c r="G76" s="13">
        <v>1</v>
      </c>
      <c r="H76" s="13">
        <v>2.7</v>
      </c>
      <c r="I76" s="13">
        <v>1</v>
      </c>
      <c r="J76" s="13">
        <v>1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1</v>
      </c>
      <c r="R76" s="13">
        <v>0</v>
      </c>
      <c r="S76" s="13">
        <v>0</v>
      </c>
      <c r="T76" s="13">
        <v>0</v>
      </c>
      <c r="U76" s="13">
        <v>0</v>
      </c>
      <c r="V76" s="13">
        <v>1</v>
      </c>
      <c r="W76" s="13">
        <v>0</v>
      </c>
    </row>
    <row r="77" spans="2:23" x14ac:dyDescent="0.25">
      <c r="B77" s="13">
        <v>75</v>
      </c>
      <c r="C77" s="13" t="s">
        <v>10</v>
      </c>
      <c r="D77" s="13" t="s">
        <v>343</v>
      </c>
      <c r="E77" s="13" t="s">
        <v>323</v>
      </c>
      <c r="F77" s="13">
        <v>0.1358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</row>
    <row r="78" spans="2:23" x14ac:dyDescent="0.25">
      <c r="B78" s="13">
        <v>76</v>
      </c>
      <c r="C78" s="13" t="s">
        <v>10</v>
      </c>
      <c r="D78" s="13" t="s">
        <v>343</v>
      </c>
      <c r="E78" s="13" t="s">
        <v>64</v>
      </c>
      <c r="F78" s="13">
        <v>0.28610000000000002</v>
      </c>
      <c r="G78" s="13">
        <v>1</v>
      </c>
      <c r="H78" s="13">
        <v>3.5</v>
      </c>
      <c r="I78" s="13">
        <v>1</v>
      </c>
      <c r="J78" s="13">
        <v>1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1</v>
      </c>
      <c r="R78" s="13">
        <v>0</v>
      </c>
      <c r="S78" s="13">
        <v>0</v>
      </c>
      <c r="T78" s="13">
        <v>0</v>
      </c>
      <c r="U78" s="13">
        <v>1</v>
      </c>
      <c r="V78" s="13">
        <v>0</v>
      </c>
      <c r="W78" s="13">
        <v>0</v>
      </c>
    </row>
    <row r="79" spans="2:23" x14ac:dyDescent="0.25">
      <c r="B79" s="13">
        <v>77</v>
      </c>
      <c r="C79" s="13" t="s">
        <v>10</v>
      </c>
      <c r="D79" s="13" t="s">
        <v>344</v>
      </c>
      <c r="E79" s="13" t="s">
        <v>323</v>
      </c>
      <c r="F79" s="13">
        <v>0.21440000000000001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2:23" x14ac:dyDescent="0.25">
      <c r="B80" s="13">
        <v>78</v>
      </c>
      <c r="C80" s="13" t="s">
        <v>10</v>
      </c>
      <c r="D80" s="13" t="s">
        <v>344</v>
      </c>
      <c r="E80" s="13" t="s">
        <v>64</v>
      </c>
      <c r="F80" s="13">
        <v>0.39050000000000001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2:23" x14ac:dyDescent="0.25">
      <c r="B81" s="13">
        <v>79</v>
      </c>
      <c r="C81" s="13" t="s">
        <v>10</v>
      </c>
      <c r="D81" s="13" t="s">
        <v>345</v>
      </c>
      <c r="E81" s="13" t="s">
        <v>323</v>
      </c>
      <c r="F81" s="13">
        <v>0.2069</v>
      </c>
      <c r="G81" s="13">
        <v>1</v>
      </c>
      <c r="H81" s="13">
        <v>4.83</v>
      </c>
      <c r="I81" s="13">
        <v>1</v>
      </c>
      <c r="J81" s="13">
        <v>1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49">
        <v>1</v>
      </c>
      <c r="S81" s="13">
        <v>0</v>
      </c>
      <c r="T81" s="13">
        <v>0</v>
      </c>
      <c r="U81" s="13">
        <v>0</v>
      </c>
      <c r="V81" s="13">
        <v>1</v>
      </c>
      <c r="W81" s="13">
        <v>0</v>
      </c>
    </row>
    <row r="82" spans="2:23" x14ac:dyDescent="0.25">
      <c r="B82" s="13">
        <v>80</v>
      </c>
      <c r="C82" s="13" t="s">
        <v>10</v>
      </c>
      <c r="D82" s="13" t="s">
        <v>345</v>
      </c>
      <c r="E82" s="13" t="s">
        <v>64</v>
      </c>
      <c r="F82" s="13">
        <v>0.40050000000000002</v>
      </c>
      <c r="G82" s="13">
        <v>2</v>
      </c>
      <c r="H82" s="13">
        <v>4.99</v>
      </c>
      <c r="I82" s="13">
        <v>1</v>
      </c>
      <c r="J82" s="13">
        <v>1</v>
      </c>
      <c r="K82" s="13">
        <v>1</v>
      </c>
      <c r="L82" s="13">
        <v>0</v>
      </c>
      <c r="M82" s="13">
        <v>0</v>
      </c>
      <c r="N82" s="13">
        <v>1</v>
      </c>
      <c r="O82" s="13">
        <v>0</v>
      </c>
      <c r="P82" s="13">
        <v>0</v>
      </c>
      <c r="Q82" s="13">
        <v>1</v>
      </c>
      <c r="R82" s="13">
        <v>0</v>
      </c>
      <c r="S82" s="13">
        <v>0</v>
      </c>
      <c r="T82" s="13">
        <v>0</v>
      </c>
      <c r="U82" s="13">
        <v>2</v>
      </c>
      <c r="V82" s="13">
        <v>0</v>
      </c>
      <c r="W82" s="13">
        <v>0</v>
      </c>
    </row>
    <row r="83" spans="2:23" x14ac:dyDescent="0.25">
      <c r="B83" s="13">
        <v>81</v>
      </c>
      <c r="C83" s="13" t="s">
        <v>10</v>
      </c>
      <c r="D83" s="13" t="s">
        <v>346</v>
      </c>
      <c r="E83" s="13" t="s">
        <v>323</v>
      </c>
      <c r="F83" s="13">
        <v>0.14030000000000001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</row>
    <row r="84" spans="2:23" x14ac:dyDescent="0.25">
      <c r="B84" s="13">
        <v>82</v>
      </c>
      <c r="C84" s="13" t="s">
        <v>10</v>
      </c>
      <c r="D84" s="13" t="s">
        <v>346</v>
      </c>
      <c r="E84" s="13" t="s">
        <v>64</v>
      </c>
      <c r="F84" s="13">
        <v>0.26400000000000001</v>
      </c>
      <c r="G84" s="13">
        <v>1</v>
      </c>
      <c r="H84" s="13">
        <v>3.79</v>
      </c>
      <c r="I84" s="13">
        <v>1</v>
      </c>
      <c r="J84" s="13">
        <v>1</v>
      </c>
      <c r="K84" s="13">
        <v>0</v>
      </c>
      <c r="L84" s="13">
        <v>0</v>
      </c>
      <c r="M84" s="13">
        <v>0</v>
      </c>
      <c r="N84" s="13">
        <v>1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1</v>
      </c>
      <c r="W84" s="13">
        <v>0</v>
      </c>
    </row>
    <row r="85" spans="2:23" x14ac:dyDescent="0.25">
      <c r="B85" s="13">
        <v>83</v>
      </c>
      <c r="C85" s="13" t="s">
        <v>10</v>
      </c>
      <c r="D85" s="13" t="s">
        <v>347</v>
      </c>
      <c r="E85" s="13" t="s">
        <v>323</v>
      </c>
      <c r="F85" s="13">
        <v>0.25009999999999999</v>
      </c>
      <c r="G85" s="13">
        <v>5</v>
      </c>
      <c r="H85" s="13">
        <v>19.989999999999998</v>
      </c>
      <c r="I85" s="13">
        <v>1</v>
      </c>
      <c r="J85" s="13">
        <v>2</v>
      </c>
      <c r="K85" s="13">
        <v>3</v>
      </c>
      <c r="L85" s="13">
        <v>0</v>
      </c>
      <c r="M85" s="13">
        <v>0</v>
      </c>
      <c r="N85" s="13">
        <v>2</v>
      </c>
      <c r="O85" s="13">
        <v>1</v>
      </c>
      <c r="P85" s="13">
        <v>0</v>
      </c>
      <c r="Q85" s="13">
        <v>2</v>
      </c>
      <c r="R85" s="13">
        <v>0</v>
      </c>
      <c r="S85" s="13">
        <v>0</v>
      </c>
      <c r="T85" s="13">
        <v>0</v>
      </c>
      <c r="U85" s="13">
        <v>4</v>
      </c>
      <c r="V85" s="13">
        <v>1</v>
      </c>
      <c r="W85" s="13">
        <v>0</v>
      </c>
    </row>
    <row r="86" spans="2:23" x14ac:dyDescent="0.25">
      <c r="B86" s="13">
        <v>84</v>
      </c>
      <c r="C86" s="13" t="s">
        <v>10</v>
      </c>
      <c r="D86" s="13" t="s">
        <v>347</v>
      </c>
      <c r="E86" s="13" t="s">
        <v>64</v>
      </c>
      <c r="F86" s="13">
        <v>0.59560000000000002</v>
      </c>
      <c r="G86" s="13">
        <v>1</v>
      </c>
      <c r="H86" s="13">
        <v>1.68</v>
      </c>
      <c r="I86" s="13">
        <v>1</v>
      </c>
      <c r="J86" s="13">
        <v>1</v>
      </c>
      <c r="K86" s="13">
        <v>0</v>
      </c>
      <c r="L86" s="13">
        <v>0</v>
      </c>
      <c r="M86" s="13">
        <v>0</v>
      </c>
      <c r="N86" s="13">
        <v>0</v>
      </c>
      <c r="O86" s="13">
        <v>1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1</v>
      </c>
    </row>
    <row r="87" spans="2:23" x14ac:dyDescent="0.25">
      <c r="B87" s="13">
        <v>85</v>
      </c>
      <c r="C87" s="13" t="s">
        <v>10</v>
      </c>
      <c r="D87" s="13" t="s">
        <v>348</v>
      </c>
      <c r="E87" s="13" t="s">
        <v>323</v>
      </c>
      <c r="F87" s="13">
        <v>0.29339999999999999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</row>
    <row r="88" spans="2:23" x14ac:dyDescent="0.25">
      <c r="B88" s="13">
        <v>86</v>
      </c>
      <c r="C88" s="13" t="s">
        <v>10</v>
      </c>
      <c r="D88" s="13" t="s">
        <v>348</v>
      </c>
      <c r="E88" s="13" t="s">
        <v>64</v>
      </c>
      <c r="F88" s="13">
        <v>0.4556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</row>
    <row r="89" spans="2:23" x14ac:dyDescent="0.25">
      <c r="B89" s="13">
        <v>87</v>
      </c>
      <c r="C89" s="13" t="s">
        <v>10</v>
      </c>
      <c r="D89" s="13" t="s">
        <v>349</v>
      </c>
      <c r="E89" s="13" t="s">
        <v>323</v>
      </c>
      <c r="F89" s="13">
        <v>0.1983</v>
      </c>
      <c r="G89" s="13">
        <v>1</v>
      </c>
      <c r="H89" s="13">
        <v>5.04</v>
      </c>
      <c r="I89" s="13">
        <v>1</v>
      </c>
      <c r="J89" s="13">
        <v>1</v>
      </c>
      <c r="K89" s="13">
        <v>0</v>
      </c>
      <c r="L89" s="13">
        <v>0</v>
      </c>
      <c r="M89" s="13">
        <v>0</v>
      </c>
      <c r="N89" s="13">
        <v>1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1</v>
      </c>
      <c r="W89" s="13">
        <v>0</v>
      </c>
    </row>
    <row r="90" spans="2:23" x14ac:dyDescent="0.25">
      <c r="B90" s="13">
        <v>88</v>
      </c>
      <c r="C90" s="13" t="s">
        <v>10</v>
      </c>
      <c r="D90" s="13" t="s">
        <v>349</v>
      </c>
      <c r="E90" s="13" t="s">
        <v>64</v>
      </c>
      <c r="F90" s="13">
        <v>0.37259999999999999</v>
      </c>
      <c r="G90" s="13">
        <v>3</v>
      </c>
      <c r="H90" s="13">
        <v>8.0500000000000007</v>
      </c>
      <c r="I90" s="13">
        <v>1</v>
      </c>
      <c r="J90" s="13">
        <v>0</v>
      </c>
      <c r="K90" s="13">
        <v>3</v>
      </c>
      <c r="L90" s="13">
        <v>0</v>
      </c>
      <c r="M90" s="13">
        <v>0</v>
      </c>
      <c r="N90" s="13">
        <v>1</v>
      </c>
      <c r="O90" s="13">
        <v>2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3</v>
      </c>
      <c r="V90" s="13">
        <v>0</v>
      </c>
      <c r="W90" s="13">
        <v>0</v>
      </c>
    </row>
    <row r="91" spans="2:23" x14ac:dyDescent="0.25">
      <c r="B91" s="13">
        <v>89</v>
      </c>
      <c r="C91" s="13" t="s">
        <v>10</v>
      </c>
      <c r="D91" s="13" t="s">
        <v>350</v>
      </c>
      <c r="E91" s="13" t="s">
        <v>323</v>
      </c>
      <c r="F91" s="13">
        <v>0.2429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</row>
    <row r="92" spans="2:23" x14ac:dyDescent="0.25">
      <c r="B92" s="13">
        <v>90</v>
      </c>
      <c r="C92" s="13" t="s">
        <v>10</v>
      </c>
      <c r="D92" s="13" t="s">
        <v>350</v>
      </c>
      <c r="E92" s="13" t="s">
        <v>64</v>
      </c>
      <c r="F92" s="13">
        <v>0.47699999999999998</v>
      </c>
      <c r="G92" s="13">
        <v>2</v>
      </c>
      <c r="H92" s="13">
        <v>4.1900000000000004</v>
      </c>
      <c r="I92" s="13">
        <v>1</v>
      </c>
      <c r="J92" s="13">
        <v>1</v>
      </c>
      <c r="K92" s="13">
        <v>1</v>
      </c>
      <c r="L92" s="13">
        <v>0</v>
      </c>
      <c r="M92" s="13">
        <v>0</v>
      </c>
      <c r="N92" s="13">
        <v>1</v>
      </c>
      <c r="O92" s="13">
        <v>1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2</v>
      </c>
      <c r="V92" s="13">
        <v>0</v>
      </c>
      <c r="W92" s="13">
        <v>0</v>
      </c>
    </row>
    <row r="93" spans="2:23" x14ac:dyDescent="0.25">
      <c r="B93" s="13">
        <v>91</v>
      </c>
      <c r="C93" s="13" t="s">
        <v>10</v>
      </c>
      <c r="D93" s="13" t="s">
        <v>351</v>
      </c>
      <c r="E93" s="13" t="s">
        <v>323</v>
      </c>
      <c r="F93" s="13">
        <v>0.18310000000000001</v>
      </c>
      <c r="G93" s="49">
        <v>1</v>
      </c>
      <c r="H93" s="13">
        <v>5.46</v>
      </c>
      <c r="I93" s="13">
        <v>1</v>
      </c>
      <c r="J93" s="49">
        <v>1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49">
        <v>1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49">
        <v>1</v>
      </c>
      <c r="W93" s="13">
        <v>0</v>
      </c>
    </row>
    <row r="94" spans="2:23" x14ac:dyDescent="0.25">
      <c r="B94" s="13">
        <v>92</v>
      </c>
      <c r="C94" s="13" t="s">
        <v>10</v>
      </c>
      <c r="D94" s="13" t="s">
        <v>351</v>
      </c>
      <c r="E94" s="13" t="s">
        <v>64</v>
      </c>
      <c r="F94" s="13">
        <v>0.32990000000000003</v>
      </c>
      <c r="G94" s="13">
        <v>1</v>
      </c>
      <c r="H94" s="13">
        <v>3.03</v>
      </c>
      <c r="I94" s="13">
        <v>1</v>
      </c>
      <c r="J94" s="13">
        <v>0</v>
      </c>
      <c r="K94" s="13">
        <v>0</v>
      </c>
      <c r="L94" s="13">
        <v>1</v>
      </c>
      <c r="M94" s="13">
        <v>0</v>
      </c>
      <c r="N94" s="13">
        <v>0</v>
      </c>
      <c r="O94" s="13">
        <v>0</v>
      </c>
      <c r="P94" s="13">
        <v>0</v>
      </c>
      <c r="Q94" s="49">
        <v>1</v>
      </c>
      <c r="R94" s="13">
        <v>0</v>
      </c>
      <c r="S94" s="13">
        <v>0</v>
      </c>
      <c r="T94" s="13">
        <v>0</v>
      </c>
      <c r="U94" s="49">
        <v>1</v>
      </c>
      <c r="V94" s="13">
        <v>0</v>
      </c>
      <c r="W94" s="13">
        <v>0</v>
      </c>
    </row>
    <row r="95" spans="2:23" x14ac:dyDescent="0.25">
      <c r="B95" s="13">
        <v>93</v>
      </c>
      <c r="C95" s="13" t="s">
        <v>10</v>
      </c>
      <c r="D95" s="13" t="s">
        <v>352</v>
      </c>
      <c r="E95" s="13" t="s">
        <v>323</v>
      </c>
      <c r="F95" s="13">
        <v>0.1729</v>
      </c>
      <c r="G95" s="13">
        <v>2</v>
      </c>
      <c r="H95" s="13">
        <v>11.57</v>
      </c>
      <c r="I95" s="13">
        <v>1</v>
      </c>
      <c r="J95" s="13">
        <v>2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2</v>
      </c>
      <c r="Q95" s="13">
        <v>0</v>
      </c>
      <c r="R95" s="13">
        <v>0</v>
      </c>
      <c r="S95" s="13">
        <v>0</v>
      </c>
      <c r="T95" s="13">
        <v>0</v>
      </c>
      <c r="U95" s="13">
        <v>1</v>
      </c>
      <c r="V95" s="13">
        <v>0</v>
      </c>
      <c r="W95" s="13">
        <v>1</v>
      </c>
    </row>
    <row r="96" spans="2:23" x14ac:dyDescent="0.25">
      <c r="B96" s="13">
        <v>94</v>
      </c>
      <c r="C96" s="13" t="s">
        <v>10</v>
      </c>
      <c r="D96" s="13" t="s">
        <v>352</v>
      </c>
      <c r="E96" s="13" t="s">
        <v>64</v>
      </c>
      <c r="F96" s="13">
        <v>0.38090000000000002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S1_Biometry (mean SD)</vt:lpstr>
      <vt:lpstr>S3_MPs Morphotype</vt:lpstr>
      <vt:lpstr>S4_Abundance</vt:lpstr>
      <vt:lpstr>S5_Morphotype_plots</vt:lpstr>
      <vt:lpstr>S6_Occurrence</vt:lpstr>
      <vt:lpstr>Risk assessment</vt:lpstr>
      <vt:lpstr>S7_PHI</vt:lpstr>
      <vt:lpstr>Station wise PHI</vt:lpstr>
      <vt:lpstr>Polymers_stations</vt:lpstr>
      <vt:lpstr>S8_GPS coordinates</vt:lpstr>
      <vt:lpstr>GLM_dataset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</dc:creator>
  <cp:lastModifiedBy>KOUSHIK DAS</cp:lastModifiedBy>
  <dcterms:created xsi:type="dcterms:W3CDTF">2015-06-05T18:17:20Z</dcterms:created>
  <dcterms:modified xsi:type="dcterms:W3CDTF">2026-10-12T04:45:19Z</dcterms:modified>
</cp:coreProperties>
</file>